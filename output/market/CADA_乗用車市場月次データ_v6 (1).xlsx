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乗用車月次総合" sheetId="1" state="visible" r:id="rId1"/>
    <sheet xmlns:r="http://schemas.openxmlformats.org/officeDocument/2006/relationships" name="新能源車月次" sheetId="2" state="visible" r:id="rId2"/>
    <sheet xmlns:r="http://schemas.openxmlformats.org/officeDocument/2006/relationships" name="NEV批発構造" sheetId="3" state="visible" r:id="rId3"/>
    <sheet xmlns:r="http://schemas.openxmlformats.org/officeDocument/2006/relationships" name="ブランド国籍別シェア" sheetId="4" state="visible" r:id="rId4"/>
    <sheet xmlns:r="http://schemas.openxmlformats.org/officeDocument/2006/relationships" name="NEV渗透率詳細" sheetId="5" state="visible" r:id="rId5"/>
    <sheet xmlns:r="http://schemas.openxmlformats.org/officeDocument/2006/relationships" name="NEV車格構造" sheetId="6" state="visible" r:id="rId6"/>
    <sheet xmlns:r="http://schemas.openxmlformats.org/officeDocument/2006/relationships" name="NEV出口メーカー月次" sheetId="7" state="visible" r:id="rId7"/>
    <sheet xmlns:r="http://schemas.openxmlformats.org/officeDocument/2006/relationships" name="汽車行業利潤" sheetId="8" state="visible" r:id="rId8"/>
    <sheet xmlns:r="http://schemas.openxmlformats.org/officeDocument/2006/relationships" name="汽車出口詳細" sheetId="9" state="visible" r:id="rId9"/>
    <sheet xmlns:r="http://schemas.openxmlformats.org/officeDocument/2006/relationships" name="汽車輸入(進口)" sheetId="10" state="visible" r:id="rId10"/>
    <sheet xmlns:r="http://schemas.openxmlformats.org/officeDocument/2006/relationships" name="出口動力構造比" sheetId="11" state="visible" r:id="rId11"/>
    <sheet xmlns:r="http://schemas.openxmlformats.org/officeDocument/2006/relationships" name="中国世界シェア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305496"/>
      <sz val="10"/>
    </font>
    <font>
      <name val="Arial"/>
      <b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D0F0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30549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1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1" fillId="10" borderId="1" applyAlignment="1" pivotButton="0" quotePrefix="0" xfId="0">
      <alignment horizontal="center" wrapText="1"/>
    </xf>
    <xf numFmtId="0" fontId="1" fillId="11" borderId="1" applyAlignment="1" pivotButton="0" quotePrefix="0" xfId="0">
      <alignment horizontal="center" wrapText="1"/>
    </xf>
    <xf numFmtId="0" fontId="1" fillId="12" borderId="1" applyAlignment="1" pivotButton="0" quotePrefix="0" xfId="0">
      <alignment horizontal="center" wrapText="1"/>
    </xf>
    <xf numFmtId="0" fontId="3" fillId="0" borderId="1" pivotButton="0" quotePrefix="0" xfId="0"/>
    <xf numFmtId="3" fontId="3" fillId="0" borderId="1" pivotButton="0" quotePrefix="0" xfId="0"/>
    <xf numFmtId="3" fontId="3" fillId="0" borderId="1" applyAlignment="1" pivotButton="0" quotePrefix="0" xfId="0">
      <alignment horizontal="right"/>
    </xf>
    <xf numFmtId="0" fontId="1" fillId="13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月份</t>
        </is>
      </c>
      <c r="B1" s="1" t="inlineStr">
        <is>
          <t>零售</t>
        </is>
      </c>
      <c r="C1" s="2" t="n"/>
      <c r="D1" s="3" t="n"/>
      <c r="E1" s="1" t="inlineStr">
        <is>
          <t>累計零售</t>
        </is>
      </c>
      <c r="F1" s="3" t="n"/>
      <c r="G1" s="1" t="inlineStr">
        <is>
          <t>批発</t>
        </is>
      </c>
      <c r="H1" s="2" t="n"/>
      <c r="I1" s="3" t="n"/>
      <c r="J1" s="1" t="inlineStr">
        <is>
          <t>生産</t>
        </is>
      </c>
      <c r="K1" s="2" t="n"/>
      <c r="L1" s="3" t="n"/>
      <c r="M1" s="1" t="inlineStr">
        <is>
          <t>出口</t>
        </is>
      </c>
      <c r="N1" s="2" t="n"/>
      <c r="O1" s="3" t="n"/>
    </row>
    <row r="2">
      <c r="A2" s="4" t="inlineStr"/>
      <c r="B2" s="4" t="inlineStr">
        <is>
          <t>万辆</t>
        </is>
      </c>
      <c r="C2" s="4" t="inlineStr">
        <is>
          <t>同比%</t>
        </is>
      </c>
      <c r="D2" s="4" t="inlineStr">
        <is>
          <t>環比%</t>
        </is>
      </c>
      <c r="E2" s="4" t="inlineStr">
        <is>
          <t>万辆</t>
        </is>
      </c>
      <c r="F2" s="4" t="inlineStr">
        <is>
          <t>同比%</t>
        </is>
      </c>
      <c r="G2" s="4" t="inlineStr">
        <is>
          <t>万辆</t>
        </is>
      </c>
      <c r="H2" s="4" t="inlineStr">
        <is>
          <t>同比%</t>
        </is>
      </c>
      <c r="I2" s="4" t="inlineStr">
        <is>
          <t>環比%</t>
        </is>
      </c>
      <c r="J2" s="4" t="inlineStr">
        <is>
          <t>万辆</t>
        </is>
      </c>
      <c r="K2" s="4" t="inlineStr">
        <is>
          <t>同比%</t>
        </is>
      </c>
      <c r="L2" s="4" t="inlineStr">
        <is>
          <t>環比%</t>
        </is>
      </c>
      <c r="M2" s="4" t="inlineStr">
        <is>
          <t>万辆</t>
        </is>
      </c>
      <c r="N2" s="4" t="inlineStr">
        <is>
          <t>同比%</t>
        </is>
      </c>
      <c r="O2" s="4" t="inlineStr">
        <is>
          <t>環比%</t>
        </is>
      </c>
    </row>
    <row r="3">
      <c r="A3" s="5" t="inlineStr">
        <is>
          <t>2023年5月</t>
        </is>
      </c>
      <c r="B3" s="6" t="n">
        <v>174.2</v>
      </c>
      <c r="C3" s="6" t="n">
        <v>28.6</v>
      </c>
      <c r="D3" s="6" t="n">
        <v>7.3</v>
      </c>
      <c r="E3" s="6" t="n">
        <v>763.2</v>
      </c>
      <c r="F3" s="6" t="n">
        <v>4.2</v>
      </c>
      <c r="G3" s="6" t="n">
        <v>199.7</v>
      </c>
      <c r="H3" s="6" t="n">
        <v>25.4</v>
      </c>
      <c r="I3" s="6" t="n">
        <v>12.4</v>
      </c>
      <c r="J3" s="6" t="n">
        <v>198.5</v>
      </c>
      <c r="K3" s="6" t="n">
        <v>18.7</v>
      </c>
      <c r="L3" s="6" t="n">
        <v>14.8</v>
      </c>
      <c r="M3" s="6" t="n">
        <v>30.2</v>
      </c>
      <c r="N3" s="6" t="n">
        <v>64</v>
      </c>
      <c r="O3" s="6" t="n">
        <v>1</v>
      </c>
    </row>
    <row r="4">
      <c r="A4" s="5" t="inlineStr">
        <is>
          <t>2023年6月</t>
        </is>
      </c>
      <c r="B4" s="6" t="n">
        <v>189.4</v>
      </c>
      <c r="C4" s="6" t="n">
        <v>-2.6</v>
      </c>
      <c r="D4" s="6" t="n">
        <v>8.699999999999999</v>
      </c>
      <c r="E4" s="6" t="n">
        <v>952.4</v>
      </c>
      <c r="F4" s="6" t="n">
        <v>2.7</v>
      </c>
      <c r="G4" s="6" t="n">
        <v>223.6</v>
      </c>
      <c r="H4" s="6" t="n">
        <v>2.1</v>
      </c>
      <c r="I4" s="6" t="n">
        <v>11.7</v>
      </c>
      <c r="J4" s="6" t="n">
        <v>219.5</v>
      </c>
      <c r="K4" s="6" t="n">
        <v>-0.5</v>
      </c>
      <c r="L4" s="6" t="n">
        <v>10.3</v>
      </c>
      <c r="M4" s="6" t="n">
        <v>29</v>
      </c>
      <c r="N4" s="6" t="n">
        <v>56</v>
      </c>
      <c r="O4" s="6" t="n">
        <v>-4</v>
      </c>
    </row>
    <row r="5">
      <c r="A5" s="5" t="inlineStr">
        <is>
          <t>2023年7月</t>
        </is>
      </c>
      <c r="B5" s="6" t="n">
        <v>177.5</v>
      </c>
      <c r="C5" s="6" t="n">
        <v>-2.3</v>
      </c>
      <c r="D5" s="6" t="n">
        <v>-6.3</v>
      </c>
      <c r="E5" s="6" t="n">
        <v>1129.9</v>
      </c>
      <c r="F5" s="6" t="n">
        <v>1.9</v>
      </c>
      <c r="G5" s="6" t="n">
        <v>206.5</v>
      </c>
      <c r="H5" s="6" t="n">
        <v>-3.2</v>
      </c>
      <c r="I5" s="6" t="n">
        <v>-7.6</v>
      </c>
      <c r="J5" s="6" t="n">
        <v>210.1</v>
      </c>
      <c r="K5" s="6" t="n">
        <v>-2.6</v>
      </c>
      <c r="L5" s="6" t="n">
        <v>-4.3</v>
      </c>
      <c r="M5" s="6" t="n">
        <v>31</v>
      </c>
      <c r="N5" s="6" t="n">
        <v>63</v>
      </c>
      <c r="O5" s="6" t="n">
        <v>4</v>
      </c>
    </row>
    <row r="6">
      <c r="A6" s="5" t="inlineStr">
        <is>
          <t>2023年8月</t>
        </is>
      </c>
      <c r="B6" s="6" t="n">
        <v>192</v>
      </c>
      <c r="C6" s="6" t="n">
        <v>2.5</v>
      </c>
      <c r="D6" s="6" t="n">
        <v>8.6</v>
      </c>
      <c r="E6" s="6" t="n">
        <v>1322</v>
      </c>
      <c r="F6" s="6" t="n">
        <v>2</v>
      </c>
      <c r="G6" s="6" t="n">
        <v>223.7</v>
      </c>
      <c r="H6" s="6" t="n">
        <v>6.5</v>
      </c>
      <c r="I6" s="6" t="n">
        <v>8.5</v>
      </c>
      <c r="J6" s="6" t="n">
        <v>223.7</v>
      </c>
      <c r="K6" s="6" t="n">
        <v>5.3</v>
      </c>
      <c r="L6" s="6" t="n">
        <v>7.1</v>
      </c>
      <c r="M6" s="6" t="n">
        <v>33</v>
      </c>
      <c r="N6" s="6" t="n">
        <v>31</v>
      </c>
      <c r="O6" s="6" t="n">
        <v>7</v>
      </c>
    </row>
    <row r="7">
      <c r="A7" s="5" t="inlineStr">
        <is>
          <t>2023年9月</t>
        </is>
      </c>
      <c r="B7" s="6" t="n">
        <v>201.8</v>
      </c>
      <c r="C7" s="6" t="n">
        <v>5</v>
      </c>
      <c r="D7" s="6" t="n">
        <v>5</v>
      </c>
      <c r="E7" s="6" t="n">
        <v>1523.3</v>
      </c>
      <c r="F7" s="6" t="n">
        <v>2.4</v>
      </c>
      <c r="G7" s="6" t="n">
        <v>244.9</v>
      </c>
      <c r="H7" s="6" t="n">
        <v>6.6</v>
      </c>
      <c r="I7" s="6" t="n">
        <v>9.5</v>
      </c>
      <c r="J7" s="6" t="n">
        <v>243.1</v>
      </c>
      <c r="K7" s="6" t="n">
        <v>2.8</v>
      </c>
      <c r="L7" s="6" t="n">
        <v>8.699999999999999</v>
      </c>
      <c r="M7" s="6" t="n">
        <v>35.7</v>
      </c>
      <c r="N7" s="6" t="n">
        <v>50</v>
      </c>
      <c r="O7" s="6" t="n">
        <v>8</v>
      </c>
    </row>
    <row r="8">
      <c r="A8" s="5" t="inlineStr">
        <is>
          <t>2023年10月</t>
        </is>
      </c>
      <c r="B8" s="6" t="n">
        <v>203.3</v>
      </c>
      <c r="C8" s="6" t="n">
        <v>10.2</v>
      </c>
      <c r="D8" s="6" t="n">
        <v>0.7</v>
      </c>
      <c r="E8" s="6" t="n">
        <v>1726.7</v>
      </c>
      <c r="F8" s="6" t="n">
        <v>3.2</v>
      </c>
      <c r="G8" s="6" t="n">
        <v>244.5</v>
      </c>
      <c r="H8" s="6" t="n">
        <v>11.3</v>
      </c>
      <c r="I8" s="6" t="n">
        <v>-0.3</v>
      </c>
      <c r="J8" s="6" t="n">
        <v>245.1</v>
      </c>
      <c r="K8" s="6" t="n">
        <v>7.2</v>
      </c>
      <c r="L8" s="6" t="n">
        <v>0.6</v>
      </c>
      <c r="M8" s="6" t="n">
        <v>39.1</v>
      </c>
      <c r="N8" s="6" t="n">
        <v>49</v>
      </c>
      <c r="O8" s="6" t="n">
        <v>9</v>
      </c>
    </row>
    <row r="9">
      <c r="A9" s="5" t="inlineStr">
        <is>
          <t>2023年11月</t>
        </is>
      </c>
      <c r="B9" s="6" t="n">
        <v>208</v>
      </c>
      <c r="C9" s="6" t="n">
        <v>26</v>
      </c>
      <c r="D9" s="6" t="n">
        <v>2.4</v>
      </c>
      <c r="E9" s="6" t="n">
        <v>1934.5</v>
      </c>
      <c r="F9" s="6" t="n">
        <v>5.3</v>
      </c>
      <c r="G9" s="6" t="n">
        <v>254.9</v>
      </c>
      <c r="H9" s="6" t="n">
        <v>25.3</v>
      </c>
      <c r="I9" s="6" t="n">
        <v>4.3</v>
      </c>
      <c r="J9" s="6" t="n">
        <v>264.5</v>
      </c>
      <c r="K9" s="6" t="n">
        <v>25</v>
      </c>
      <c r="L9" s="6" t="n">
        <v>8</v>
      </c>
      <c r="M9" s="6" t="n">
        <v>37.8</v>
      </c>
      <c r="N9" s="6" t="n">
        <v>50</v>
      </c>
      <c r="O9" s="6" t="n">
        <v>-3</v>
      </c>
    </row>
    <row r="10">
      <c r="A10" s="5" t="inlineStr">
        <is>
          <t>2023年12月</t>
        </is>
      </c>
      <c r="B10" s="6" t="n">
        <v>235.3</v>
      </c>
      <c r="C10" s="6" t="n">
        <v>8.5</v>
      </c>
      <c r="D10" s="6" t="n">
        <v>13.1</v>
      </c>
      <c r="E10" s="6" t="n">
        <v>2169.9</v>
      </c>
      <c r="F10" s="6" t="n">
        <v>5.6</v>
      </c>
      <c r="G10" s="6" t="n">
        <v>271.4</v>
      </c>
      <c r="H10" s="6" t="n">
        <v>22</v>
      </c>
      <c r="I10" s="6" t="n">
        <v>6.6</v>
      </c>
      <c r="J10" s="6" t="n">
        <v>267.5</v>
      </c>
      <c r="K10" s="6" t="n">
        <v>26.6</v>
      </c>
      <c r="L10" s="6" t="n">
        <v>1.2</v>
      </c>
      <c r="M10" s="6" t="n">
        <v>38.5</v>
      </c>
      <c r="N10" s="6" t="n">
        <v>49</v>
      </c>
      <c r="O10" s="6" t="n">
        <v>3</v>
      </c>
    </row>
    <row r="11">
      <c r="A11" s="5" t="inlineStr">
        <is>
          <t>2024年1月</t>
        </is>
      </c>
      <c r="B11" s="6" t="n">
        <v>203.5</v>
      </c>
      <c r="C11" s="6" t="n">
        <v>57.4</v>
      </c>
      <c r="D11" s="6" t="n">
        <v>-13.9</v>
      </c>
      <c r="E11" s="6" t="n">
        <v>203.5</v>
      </c>
      <c r="F11" s="6" t="n">
        <v>57.4</v>
      </c>
      <c r="G11" s="6" t="n">
        <v>208.9</v>
      </c>
      <c r="H11" s="6" t="n">
        <v>44.4</v>
      </c>
      <c r="I11" s="6" t="n">
        <v>-23.7</v>
      </c>
      <c r="J11" s="6" t="n">
        <v>202.1</v>
      </c>
      <c r="K11" s="6" t="n">
        <v>50</v>
      </c>
      <c r="L11" s="6" t="n">
        <v>-24.5</v>
      </c>
      <c r="M11" s="6" t="n">
        <v>35.5</v>
      </c>
      <c r="N11" s="6" t="n">
        <v>51</v>
      </c>
      <c r="O11" s="6" t="n">
        <v>-7</v>
      </c>
    </row>
    <row r="12">
      <c r="A12" s="5" t="inlineStr">
        <is>
          <t>2024年2月</t>
        </is>
      </c>
      <c r="B12" s="6" t="n">
        <v>109.5</v>
      </c>
      <c r="C12" s="6" t="n">
        <v>-21</v>
      </c>
      <c r="D12" s="6" t="n">
        <v>-46.2</v>
      </c>
      <c r="E12" s="6" t="n">
        <v>313.3</v>
      </c>
      <c r="F12" s="6" t="n">
        <v>17</v>
      </c>
      <c r="G12" s="6" t="n">
        <v>129.5</v>
      </c>
      <c r="H12" s="6" t="n">
        <v>-19.9</v>
      </c>
      <c r="I12" s="6" t="n">
        <v>-38</v>
      </c>
      <c r="J12" s="6" t="n">
        <v>123</v>
      </c>
      <c r="K12" s="6" t="n">
        <v>-26.1</v>
      </c>
      <c r="L12" s="6" t="n">
        <v>-39.1</v>
      </c>
      <c r="M12" s="6" t="n">
        <v>29.8</v>
      </c>
      <c r="N12" s="6" t="n">
        <v>18</v>
      </c>
      <c r="O12" s="6" t="n">
        <v>-17</v>
      </c>
    </row>
    <row r="13">
      <c r="A13" s="5" t="inlineStr">
        <is>
          <t>2024年3月</t>
        </is>
      </c>
      <c r="B13" s="6" t="n">
        <v>168.7</v>
      </c>
      <c r="C13" s="6" t="n">
        <v>6</v>
      </c>
      <c r="D13" s="6" t="n">
        <v>52.8</v>
      </c>
      <c r="E13" s="6" t="n">
        <v>482.9</v>
      </c>
      <c r="F13" s="6" t="n">
        <v>13.1</v>
      </c>
      <c r="G13" s="6" t="n">
        <v>218.9</v>
      </c>
      <c r="H13" s="6" t="n">
        <v>10.1</v>
      </c>
      <c r="I13" s="6" t="n">
        <v>68</v>
      </c>
      <c r="J13" s="6" t="n">
        <v>219.2</v>
      </c>
      <c r="K13" s="6" t="n">
        <v>5.3</v>
      </c>
      <c r="L13" s="6" t="n">
        <v>77.5</v>
      </c>
      <c r="M13" s="6" t="n">
        <v>40.6</v>
      </c>
      <c r="N13" s="6" t="n">
        <v>39</v>
      </c>
      <c r="O13" s="6" t="n">
        <v>36</v>
      </c>
    </row>
    <row r="14">
      <c r="A14" s="5" t="inlineStr">
        <is>
          <t>2024年4月</t>
        </is>
      </c>
      <c r="B14" s="6" t="n">
        <v>153.2</v>
      </c>
      <c r="C14" s="6" t="n">
        <v>-5.7</v>
      </c>
      <c r="D14" s="6" t="n">
        <v>-9.4</v>
      </c>
      <c r="E14" s="6" t="n">
        <v>636.4</v>
      </c>
      <c r="F14" s="6" t="n">
        <v>8</v>
      </c>
      <c r="G14" s="6" t="n">
        <v>195.2</v>
      </c>
      <c r="H14" s="6" t="n">
        <v>9.800000000000001</v>
      </c>
      <c r="I14" s="6" t="n">
        <v>-11.2</v>
      </c>
      <c r="J14" s="6" t="n">
        <v>198.8</v>
      </c>
      <c r="K14" s="6" t="n">
        <v>14.9</v>
      </c>
      <c r="L14" s="6" t="n">
        <v>-9.6</v>
      </c>
      <c r="M14" s="6" t="n">
        <v>41.7</v>
      </c>
      <c r="N14" s="6" t="n">
        <v>38</v>
      </c>
      <c r="O14" s="6" t="n">
        <v>0.2</v>
      </c>
    </row>
    <row r="15">
      <c r="A15" s="5" t="inlineStr">
        <is>
          <t>2024年5月</t>
        </is>
      </c>
      <c r="B15" s="6" t="n">
        <v>171</v>
      </c>
      <c r="C15" s="6" t="n">
        <v>-1.9</v>
      </c>
      <c r="D15" s="6" t="n">
        <v>11.4</v>
      </c>
      <c r="E15" s="6" t="n">
        <v>807.3</v>
      </c>
      <c r="F15" s="6" t="n">
        <v>5.7</v>
      </c>
      <c r="G15" s="6" t="n">
        <v>203.1</v>
      </c>
      <c r="H15" s="6" t="n">
        <v>1.2</v>
      </c>
      <c r="I15" s="6" t="n">
        <v>3.9</v>
      </c>
      <c r="J15" s="6" t="n">
        <v>199.7</v>
      </c>
      <c r="K15" s="6" t="n">
        <v>0.3</v>
      </c>
      <c r="L15" s="6" t="n">
        <v>0.5</v>
      </c>
      <c r="M15" s="6" t="n">
        <v>37.8</v>
      </c>
      <c r="N15" s="6" t="n">
        <v>23</v>
      </c>
      <c r="O15" s="6" t="n">
        <v>-9</v>
      </c>
    </row>
    <row r="16">
      <c r="A16" s="5" t="inlineStr">
        <is>
          <t>2024年6月</t>
        </is>
      </c>
      <c r="B16" s="6" t="n">
        <v>176.7</v>
      </c>
      <c r="C16" s="6" t="n">
        <v>-6.7</v>
      </c>
      <c r="D16" s="6" t="n">
        <v>3.2</v>
      </c>
      <c r="E16" s="6" t="n">
        <v>984.1</v>
      </c>
      <c r="F16" s="6" t="n">
        <v>3.3</v>
      </c>
      <c r="G16" s="6" t="n">
        <v>216.9</v>
      </c>
      <c r="H16" s="6" t="n">
        <v>-3</v>
      </c>
      <c r="I16" s="6" t="n">
        <v>6.9</v>
      </c>
      <c r="J16" s="6" t="n">
        <v>213.4</v>
      </c>
      <c r="K16" s="6" t="n">
        <v>-2.8</v>
      </c>
      <c r="L16" s="6" t="n">
        <v>6.9</v>
      </c>
      <c r="M16" s="6" t="n">
        <v>37.8</v>
      </c>
      <c r="N16" s="6" t="n">
        <v>28</v>
      </c>
      <c r="O16" s="6" t="n">
        <v>0</v>
      </c>
    </row>
    <row r="17">
      <c r="A17" s="5" t="inlineStr">
        <is>
          <t>2024年7月</t>
        </is>
      </c>
      <c r="B17" s="6" t="n">
        <v>172</v>
      </c>
      <c r="C17" s="6" t="n">
        <v>-2.8</v>
      </c>
      <c r="D17" s="6" t="n">
        <v>-2.6</v>
      </c>
      <c r="E17" s="6" t="n">
        <v>1155.6</v>
      </c>
      <c r="F17" s="6" t="n">
        <v>2.3</v>
      </c>
      <c r="G17" s="6" t="n">
        <v>196.5</v>
      </c>
      <c r="H17" s="6" t="n">
        <v>-4.9</v>
      </c>
      <c r="I17" s="6" t="n">
        <v>-9.4</v>
      </c>
      <c r="J17" s="6" t="n">
        <v>198.2</v>
      </c>
      <c r="K17" s="6" t="n">
        <v>-5.3</v>
      </c>
      <c r="L17" s="6" t="n">
        <v>-7.1</v>
      </c>
      <c r="M17" s="6" t="n">
        <v>37.6</v>
      </c>
      <c r="N17" s="6" t="n">
        <v>20</v>
      </c>
      <c r="O17" s="6" t="n">
        <v>0</v>
      </c>
    </row>
    <row r="18">
      <c r="A18" s="5" t="inlineStr">
        <is>
          <t>2024年8月</t>
        </is>
      </c>
      <c r="B18" s="6" t="n">
        <v>190.5</v>
      </c>
      <c r="C18" s="6" t="n">
        <v>-1</v>
      </c>
      <c r="D18" s="6" t="n">
        <v>10.8</v>
      </c>
      <c r="E18" s="6" t="n">
        <v>1347.2</v>
      </c>
      <c r="F18" s="6" t="n">
        <v>1.9</v>
      </c>
      <c r="G18" s="6" t="n">
        <v>215.4</v>
      </c>
      <c r="H18" s="6" t="n">
        <v>-3.9</v>
      </c>
      <c r="I18" s="6" t="n">
        <v>9.6</v>
      </c>
      <c r="J18" s="6" t="n">
        <v>215.8</v>
      </c>
      <c r="K18" s="6" t="n">
        <v>-3.7</v>
      </c>
      <c r="L18" s="6" t="n">
        <v>8.9</v>
      </c>
      <c r="M18" s="6" t="n">
        <v>41.3</v>
      </c>
      <c r="N18" s="6" t="n">
        <v>24</v>
      </c>
      <c r="O18" s="6" t="n">
        <v>9</v>
      </c>
    </row>
    <row r="19">
      <c r="A19" s="5" t="inlineStr">
        <is>
          <t>2024年9月</t>
        </is>
      </c>
      <c r="B19" s="6" t="n">
        <v>210.9</v>
      </c>
      <c r="C19" s="6" t="n">
        <v>4.5</v>
      </c>
      <c r="D19" s="6" t="n">
        <v>10.6</v>
      </c>
      <c r="E19" s="6" t="n">
        <v>1557.4</v>
      </c>
      <c r="F19" s="6" t="n">
        <v>2.2</v>
      </c>
      <c r="G19" s="6" t="n">
        <v>250.4</v>
      </c>
      <c r="H19" s="6" t="n">
        <v>2.1</v>
      </c>
      <c r="I19" s="6" t="n">
        <v>16.1</v>
      </c>
      <c r="J19" s="6" t="n">
        <v>241.8</v>
      </c>
      <c r="K19" s="6" t="n">
        <v>-0.8</v>
      </c>
      <c r="L19" s="6" t="n">
        <v>11.9</v>
      </c>
      <c r="M19" s="6" t="n">
        <v>43.5</v>
      </c>
      <c r="N19" s="6" t="n">
        <v>22</v>
      </c>
      <c r="O19" s="6" t="n">
        <v>5</v>
      </c>
    </row>
    <row r="20">
      <c r="A20" s="5" t="inlineStr">
        <is>
          <t>2024年10月</t>
        </is>
      </c>
      <c r="B20" s="6" t="n">
        <v>226.1</v>
      </c>
      <c r="C20" s="6" t="n">
        <v>11.3</v>
      </c>
      <c r="D20" s="6" t="n">
        <v>7.2</v>
      </c>
      <c r="E20" s="6" t="n">
        <v>1783.5</v>
      </c>
      <c r="F20" s="6" t="n">
        <v>3.2</v>
      </c>
      <c r="G20" s="6" t="n">
        <v>273.2</v>
      </c>
      <c r="H20" s="6" t="n">
        <v>11.5</v>
      </c>
      <c r="I20" s="6" t="n">
        <v>9.1</v>
      </c>
      <c r="J20" s="6" t="n">
        <v>264.5</v>
      </c>
      <c r="K20" s="6" t="n">
        <v>7.6</v>
      </c>
      <c r="L20" s="6" t="n">
        <v>9.1</v>
      </c>
      <c r="M20" s="6" t="n">
        <v>44.1</v>
      </c>
      <c r="N20" s="6" t="n">
        <v>13</v>
      </c>
      <c r="O20" s="6" t="n">
        <v>2</v>
      </c>
    </row>
    <row r="21">
      <c r="A21" s="5" t="inlineStr">
        <is>
          <t>2024年11月</t>
        </is>
      </c>
      <c r="B21" s="6" t="n">
        <v>242.3</v>
      </c>
      <c r="C21" s="6" t="n">
        <v>16.5</v>
      </c>
      <c r="D21" s="6" t="n">
        <v>7.1</v>
      </c>
      <c r="E21" s="6" t="n">
        <v>2025.7</v>
      </c>
      <c r="F21" s="6" t="n">
        <v>4.7</v>
      </c>
      <c r="G21" s="6" t="n">
        <v>294</v>
      </c>
      <c r="H21" s="6" t="n">
        <v>15.3</v>
      </c>
      <c r="I21" s="6" t="n">
        <v>7.6</v>
      </c>
      <c r="J21" s="6" t="n">
        <v>301.8</v>
      </c>
      <c r="K21" s="6" t="n">
        <v>14</v>
      </c>
      <c r="L21" s="6" t="n">
        <v>13.9</v>
      </c>
      <c r="M21" s="6" t="n">
        <v>39.6</v>
      </c>
      <c r="N21" s="6" t="n">
        <v>5</v>
      </c>
      <c r="O21" s="6" t="n">
        <v>-10</v>
      </c>
    </row>
    <row r="22">
      <c r="A22" s="5" t="inlineStr">
        <is>
          <t>2024年12月</t>
        </is>
      </c>
      <c r="B22" s="6" t="n">
        <v>263.5</v>
      </c>
      <c r="C22" s="6" t="n">
        <v>12</v>
      </c>
      <c r="D22" s="6" t="n">
        <v>8.699999999999999</v>
      </c>
      <c r="E22" s="6" t="n">
        <v>2289.4</v>
      </c>
      <c r="F22" s="6" t="n">
        <v>5.5</v>
      </c>
      <c r="G22" s="6" t="n">
        <v>307.5</v>
      </c>
      <c r="H22" s="6" t="n">
        <v>12.3</v>
      </c>
      <c r="I22" s="6" t="n">
        <v>4.5</v>
      </c>
      <c r="J22" s="6" t="n">
        <v>294.1</v>
      </c>
      <c r="K22" s="6" t="n">
        <v>9.699999999999999</v>
      </c>
      <c r="L22" s="6" t="n">
        <v>-2.7</v>
      </c>
      <c r="M22" s="6" t="n">
        <v>40.4</v>
      </c>
      <c r="N22" s="6" t="n">
        <v>6</v>
      </c>
      <c r="O22" s="6" t="n">
        <v>2</v>
      </c>
    </row>
    <row r="23">
      <c r="A23" s="5" t="inlineStr">
        <is>
          <t>2025年1月</t>
        </is>
      </c>
      <c r="B23" s="6" t="n">
        <v>179.4</v>
      </c>
      <c r="C23" s="6" t="n">
        <v>-12.1</v>
      </c>
      <c r="D23" s="6" t="n">
        <v>-31.9</v>
      </c>
      <c r="E23" s="6" t="n">
        <v>179.4</v>
      </c>
      <c r="F23" s="6" t="n">
        <v>-12.1</v>
      </c>
      <c r="G23" s="6" t="n">
        <v>210.1</v>
      </c>
      <c r="H23" s="6" t="n">
        <v>-0.3</v>
      </c>
      <c r="I23" s="6" t="n">
        <v>-31.6</v>
      </c>
      <c r="J23" s="6" t="n">
        <v>210.7</v>
      </c>
      <c r="K23" s="6" t="n">
        <v>3.6</v>
      </c>
      <c r="L23" s="6" t="n">
        <v>-28.2</v>
      </c>
      <c r="M23" s="6" t="n">
        <v>38</v>
      </c>
      <c r="N23" s="6" t="n">
        <v>3</v>
      </c>
      <c r="O23" s="6" t="n">
        <v>-6</v>
      </c>
    </row>
    <row r="24">
      <c r="A24" s="5" t="inlineStr">
        <is>
          <t>2025年2月</t>
        </is>
      </c>
      <c r="B24" s="6" t="n">
        <v>138.6</v>
      </c>
      <c r="C24" s="6" t="n">
        <v>26</v>
      </c>
      <c r="D24" s="6" t="n">
        <v>-22.8</v>
      </c>
      <c r="E24" s="6" t="n">
        <v>317.9</v>
      </c>
      <c r="F24" s="6" t="n">
        <v>1.2</v>
      </c>
      <c r="G24" s="6" t="n">
        <v>176.7</v>
      </c>
      <c r="H24" s="6" t="n">
        <v>33.8</v>
      </c>
      <c r="I24" s="6" t="n">
        <v>-16</v>
      </c>
      <c r="J24" s="6" t="n">
        <v>173.6</v>
      </c>
      <c r="K24" s="6" t="n">
        <v>38.7</v>
      </c>
      <c r="L24" s="6" t="n">
        <v>-17.4</v>
      </c>
      <c r="M24" s="6" t="n">
        <v>34.9</v>
      </c>
      <c r="N24" s="6" t="n">
        <v>11</v>
      </c>
      <c r="O24" s="6" t="n">
        <v>-8</v>
      </c>
    </row>
    <row r="25">
      <c r="A25" s="5" t="inlineStr">
        <is>
          <t>2025年3月</t>
        </is>
      </c>
      <c r="B25" s="6" t="n">
        <v>194</v>
      </c>
      <c r="C25" s="6" t="n">
        <v>14.4</v>
      </c>
      <c r="D25" s="6" t="n">
        <v>40.2</v>
      </c>
      <c r="E25" s="6" t="n">
        <v>512.7</v>
      </c>
      <c r="F25" s="6" t="n">
        <v>6</v>
      </c>
      <c r="G25" s="6" t="n">
        <v>241.2</v>
      </c>
      <c r="H25" s="6" t="n">
        <v>8.9</v>
      </c>
      <c r="I25" s="6" t="n">
        <v>36.4</v>
      </c>
      <c r="J25" s="6" t="n">
        <v>248.1</v>
      </c>
      <c r="K25" s="6" t="n">
        <v>11.5</v>
      </c>
      <c r="L25" s="6" t="n">
        <v>42.9</v>
      </c>
      <c r="M25" s="6" t="n">
        <v>39.1</v>
      </c>
      <c r="N25" s="6" t="n">
        <v>-8</v>
      </c>
      <c r="O25" s="6" t="n">
        <v>10</v>
      </c>
    </row>
    <row r="26">
      <c r="A26" s="5" t="inlineStr">
        <is>
          <t>2025年4月</t>
        </is>
      </c>
      <c r="B26" s="6" t="n">
        <v>175.5</v>
      </c>
      <c r="C26" s="6" t="n">
        <v>14.5</v>
      </c>
      <c r="D26" s="6" t="n">
        <v>-9.4</v>
      </c>
      <c r="E26" s="6" t="n">
        <v>687.2</v>
      </c>
      <c r="F26" s="6" t="n">
        <v>7.9</v>
      </c>
      <c r="G26" s="6" t="n">
        <v>219</v>
      </c>
      <c r="H26" s="6" t="n">
        <v>10.7</v>
      </c>
      <c r="I26" s="6" t="n">
        <v>-9.199999999999999</v>
      </c>
      <c r="J26" s="6" t="n">
        <v>223</v>
      </c>
      <c r="K26" s="6" t="n">
        <v>11.2</v>
      </c>
      <c r="L26" s="6" t="n">
        <v>-10.3</v>
      </c>
      <c r="M26" s="6" t="n">
        <v>42.3</v>
      </c>
      <c r="N26" s="6" t="n">
        <v>-2</v>
      </c>
      <c r="O26" s="6" t="n">
        <v>7</v>
      </c>
    </row>
    <row r="27">
      <c r="A27" s="5" t="inlineStr">
        <is>
          <t>2025年5月</t>
        </is>
      </c>
      <c r="B27" s="6" t="n">
        <v>193.2</v>
      </c>
      <c r="C27" s="6" t="n">
        <v>13.3</v>
      </c>
      <c r="D27" s="6" t="n">
        <v>10.1</v>
      </c>
      <c r="E27" s="6" t="n">
        <v>881.1</v>
      </c>
      <c r="F27" s="6" t="n">
        <v>9.1</v>
      </c>
      <c r="G27" s="6" t="n">
        <v>231</v>
      </c>
      <c r="H27" s="6" t="n">
        <v>12.8</v>
      </c>
      <c r="I27" s="6" t="n">
        <v>5.5</v>
      </c>
      <c r="J27" s="6" t="n">
        <v>227</v>
      </c>
      <c r="K27" s="6" t="n">
        <v>12.6</v>
      </c>
      <c r="L27" s="6" t="n">
        <v>1.8</v>
      </c>
      <c r="M27" s="6" t="n">
        <v>44.8</v>
      </c>
      <c r="N27" s="6" t="n">
        <v>13.5</v>
      </c>
      <c r="O27" s="6" t="n">
        <v>6</v>
      </c>
    </row>
    <row r="28">
      <c r="A28" s="5" t="inlineStr">
        <is>
          <t>2025年6月</t>
        </is>
      </c>
      <c r="B28" s="6" t="n">
        <v>208.4</v>
      </c>
      <c r="C28" s="6" t="n">
        <v>18.1</v>
      </c>
      <c r="D28" s="6" t="n">
        <v>7.6</v>
      </c>
      <c r="E28" s="6" t="n">
        <v>1090.1</v>
      </c>
      <c r="F28" s="6" t="n">
        <v>10.8</v>
      </c>
      <c r="G28" s="6" t="n">
        <v>249</v>
      </c>
      <c r="H28" s="6" t="n">
        <v>15.1</v>
      </c>
      <c r="I28" s="6" t="n">
        <v>7.5</v>
      </c>
      <c r="J28" s="6" t="n">
        <v>241.9</v>
      </c>
      <c r="K28" s="6" t="n">
        <v>13.3</v>
      </c>
      <c r="L28" s="6" t="n">
        <v>6.1</v>
      </c>
      <c r="M28" s="6" t="n">
        <v>48</v>
      </c>
      <c r="N28" s="6" t="n">
        <v>23.8</v>
      </c>
      <c r="O28" s="6" t="n">
        <v>7.3</v>
      </c>
    </row>
    <row r="29">
      <c r="A29" s="5" t="inlineStr">
        <is>
          <t>2025年7月</t>
        </is>
      </c>
      <c r="B29" s="6" t="n">
        <v>182.6</v>
      </c>
      <c r="C29" s="6" t="n">
        <v>6.3</v>
      </c>
      <c r="D29" s="6" t="n">
        <v>-12.4</v>
      </c>
      <c r="E29" s="6" t="n">
        <v>1272.8</v>
      </c>
      <c r="F29" s="6" t="n">
        <v>10.1</v>
      </c>
      <c r="G29" s="6" t="n">
        <v>222.1</v>
      </c>
      <c r="H29" s="6" t="n">
        <v>13</v>
      </c>
      <c r="I29" s="6" t="n">
        <v>-10.8</v>
      </c>
      <c r="J29" s="6" t="n">
        <v>222.9</v>
      </c>
      <c r="K29" s="6" t="n">
        <v>12.1</v>
      </c>
      <c r="L29" s="6" t="n">
        <v>-7.1</v>
      </c>
      <c r="M29" s="6" t="n">
        <v>47.5</v>
      </c>
      <c r="N29" s="6" t="n">
        <v>25</v>
      </c>
      <c r="O29" s="6" t="n">
        <v>-1</v>
      </c>
    </row>
    <row r="30">
      <c r="A30" s="5" t="inlineStr">
        <is>
          <t>2025年8月</t>
        </is>
      </c>
      <c r="B30" s="6" t="n">
        <v>199.5</v>
      </c>
      <c r="C30" s="6" t="n">
        <v>4.6</v>
      </c>
      <c r="D30" s="6" t="n">
        <v>8.199999999999999</v>
      </c>
      <c r="E30" s="6" t="n">
        <v>1474.1</v>
      </c>
      <c r="F30" s="6" t="n">
        <v>9.5</v>
      </c>
      <c r="G30" s="6" t="n">
        <v>245.8</v>
      </c>
      <c r="H30" s="6" t="n">
        <v>14.5</v>
      </c>
      <c r="I30" s="6" t="n">
        <v>9.6</v>
      </c>
      <c r="J30" s="6" t="n">
        <v>240.6</v>
      </c>
      <c r="K30" s="6" t="n">
        <v>11.3</v>
      </c>
      <c r="L30" s="6" t="n">
        <v>6.7</v>
      </c>
      <c r="M30" s="6" t="n">
        <v>49.9</v>
      </c>
      <c r="N30" s="6" t="n">
        <v>20.2</v>
      </c>
      <c r="O30" s="6" t="n">
        <v>3.1</v>
      </c>
    </row>
    <row r="31">
      <c r="A31" s="5" t="inlineStr">
        <is>
          <t>2025年9月</t>
        </is>
      </c>
      <c r="B31" s="6" t="n">
        <v>224.1</v>
      </c>
      <c r="C31" s="6" t="n">
        <v>6.3</v>
      </c>
      <c r="D31" s="6" t="n">
        <v>11</v>
      </c>
      <c r="E31" s="6" t="n">
        <v>1700.5</v>
      </c>
      <c r="F31" s="6" t="n">
        <v>9.199999999999999</v>
      </c>
      <c r="G31" s="6" t="n">
        <v>280.3</v>
      </c>
      <c r="H31" s="6" t="n">
        <v>12.4</v>
      </c>
      <c r="I31" s="6" t="n">
        <v>13</v>
      </c>
      <c r="J31" s="6" t="n">
        <v>283.8</v>
      </c>
      <c r="K31" s="6" t="n">
        <v>17.2</v>
      </c>
      <c r="L31" s="6" t="n">
        <v>15.7</v>
      </c>
      <c r="M31" s="6" t="n">
        <v>52.8</v>
      </c>
      <c r="N31" s="6" t="n">
        <v>20.7</v>
      </c>
      <c r="O31" s="6" t="n">
        <v>5.7</v>
      </c>
    </row>
    <row r="32">
      <c r="A32" s="5" t="inlineStr">
        <is>
          <t>2025年10月</t>
        </is>
      </c>
      <c r="B32" s="6" t="n">
        <v>224.2</v>
      </c>
      <c r="C32" s="6" t="n">
        <v>-0.8</v>
      </c>
      <c r="D32" s="6" t="n">
        <v>-0.1</v>
      </c>
      <c r="E32" s="6" t="n">
        <v>1925</v>
      </c>
      <c r="F32" s="6" t="n">
        <v>7.9</v>
      </c>
      <c r="G32" s="6" t="n">
        <v>293.2</v>
      </c>
      <c r="H32" s="6" t="n">
        <v>7.6</v>
      </c>
      <c r="I32" s="6" t="n">
        <v>4.9</v>
      </c>
      <c r="J32" s="6" t="n">
        <v>295.1</v>
      </c>
      <c r="K32" s="6" t="n">
        <v>11.4</v>
      </c>
      <c r="L32" s="6" t="n">
        <v>3.7</v>
      </c>
      <c r="M32" s="6" t="n">
        <v>56.8</v>
      </c>
      <c r="N32" s="6" t="n">
        <v>27.7</v>
      </c>
      <c r="O32" s="6" t="n">
        <v>7.5</v>
      </c>
    </row>
    <row r="33">
      <c r="A33" s="5" t="inlineStr">
        <is>
          <t>2025年11月</t>
        </is>
      </c>
      <c r="B33" s="6" t="n">
        <v>222.5</v>
      </c>
      <c r="C33" s="6" t="n">
        <v>-8.1</v>
      </c>
      <c r="D33" s="6" t="n">
        <v>-1.1</v>
      </c>
      <c r="E33" s="6" t="n">
        <v>2148.3</v>
      </c>
      <c r="F33" s="6" t="n">
        <v>6.1</v>
      </c>
      <c r="G33" s="6" t="n">
        <v>299.8</v>
      </c>
      <c r="H33" s="6" t="n">
        <v>2.3</v>
      </c>
      <c r="I33" s="6" t="n">
        <v>2.4</v>
      </c>
      <c r="J33" s="6" t="n">
        <v>310.6</v>
      </c>
      <c r="K33" s="6" t="n">
        <v>3</v>
      </c>
      <c r="L33" s="6" t="n">
        <v>5.3</v>
      </c>
      <c r="M33" s="6" t="n">
        <v>60.1</v>
      </c>
      <c r="N33" s="6" t="n">
        <v>52.4</v>
      </c>
      <c r="O33" s="6" t="n">
        <v>9.1</v>
      </c>
    </row>
    <row r="34">
      <c r="A34" s="5" t="inlineStr">
        <is>
          <t>2025年12月</t>
        </is>
      </c>
      <c r="B34" s="6" t="n">
        <v>226.1</v>
      </c>
      <c r="C34" s="6" t="n">
        <v>-14</v>
      </c>
      <c r="D34" s="6" t="n">
        <v>1.6</v>
      </c>
      <c r="E34" s="6" t="n">
        <v>2374.4</v>
      </c>
      <c r="F34" s="6" t="n">
        <v>3.8</v>
      </c>
      <c r="G34" s="6" t="n">
        <v>278.9</v>
      </c>
      <c r="H34" s="6" t="n">
        <v>-9</v>
      </c>
      <c r="I34" s="6" t="n">
        <v>-7</v>
      </c>
      <c r="J34" s="6" t="n">
        <v>279.1</v>
      </c>
      <c r="K34" s="6" t="n">
        <v>-4.6</v>
      </c>
      <c r="L34" s="6" t="n">
        <v>-10.1</v>
      </c>
      <c r="M34" s="6" t="n">
        <v>58.8</v>
      </c>
      <c r="N34" s="6" t="n">
        <v>46.2</v>
      </c>
      <c r="O34" s="6" t="n">
        <v>-2</v>
      </c>
    </row>
    <row r="35">
      <c r="A35" s="5" t="inlineStr">
        <is>
          <t>2026年1月</t>
        </is>
      </c>
      <c r="B35" s="6" t="n">
        <v>154.4</v>
      </c>
      <c r="C35" s="6" t="n">
        <v>-13.9</v>
      </c>
      <c r="D35" s="7" t="n"/>
      <c r="E35" s="6" t="n">
        <v>154.4</v>
      </c>
      <c r="F35" s="6" t="n">
        <v>-13.9</v>
      </c>
      <c r="G35" s="6" t="n">
        <v>197.3</v>
      </c>
      <c r="H35" s="6" t="n">
        <v>-6.2</v>
      </c>
      <c r="I35" s="7" t="n"/>
      <c r="J35" s="6" t="n">
        <v>200.3</v>
      </c>
      <c r="K35" s="6" t="n">
        <v>-4.4</v>
      </c>
      <c r="L35" s="7" t="n"/>
      <c r="M35" s="6" t="n">
        <v>57.6</v>
      </c>
      <c r="N35" s="6" t="n">
        <v>52</v>
      </c>
      <c r="O35" s="7" t="n"/>
    </row>
  </sheetData>
  <mergeCells count="5">
    <mergeCell ref="J1:L1"/>
    <mergeCell ref="B1:D1"/>
    <mergeCell ref="E1:F1"/>
    <mergeCell ref="M1:O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8" t="inlineStr">
        <is>
          <t>月份</t>
        </is>
      </c>
      <c r="B1" s="8" t="inlineStr">
        <is>
          <t>NEV零售</t>
        </is>
      </c>
      <c r="C1" s="2" t="n"/>
      <c r="D1" s="3" t="n"/>
      <c r="E1" s="8" t="inlineStr">
        <is>
          <t>NEV累計</t>
        </is>
      </c>
      <c r="F1" s="3" t="n"/>
      <c r="G1" s="8" t="inlineStr">
        <is>
          <t>NEV批発</t>
        </is>
      </c>
      <c r="H1" s="2" t="n"/>
      <c r="I1" s="3" t="n"/>
      <c r="J1" s="8" t="inlineStr">
        <is>
          <t>NEV生産</t>
        </is>
      </c>
      <c r="K1" s="2" t="n"/>
      <c r="L1" s="3" t="n"/>
      <c r="M1" s="8" t="inlineStr">
        <is>
          <t>NEV出口</t>
        </is>
      </c>
      <c r="N1" s="2" t="n"/>
      <c r="O1" s="3" t="n"/>
      <c r="P1" s="8" t="inlineStr">
        <is>
          <t>渗透率</t>
        </is>
      </c>
    </row>
    <row r="2">
      <c r="A2" s="9" t="inlineStr"/>
      <c r="B2" s="9" t="inlineStr">
        <is>
          <t>万辆</t>
        </is>
      </c>
      <c r="C2" s="9" t="inlineStr">
        <is>
          <t>同比%</t>
        </is>
      </c>
      <c r="D2" s="9" t="inlineStr">
        <is>
          <t>環比%</t>
        </is>
      </c>
      <c r="E2" s="9" t="inlineStr">
        <is>
          <t>万辆</t>
        </is>
      </c>
      <c r="F2" s="9" t="inlineStr">
        <is>
          <t>同比%</t>
        </is>
      </c>
      <c r="G2" s="9" t="inlineStr">
        <is>
          <t>万辆</t>
        </is>
      </c>
      <c r="H2" s="9" t="inlineStr">
        <is>
          <t>同比%</t>
        </is>
      </c>
      <c r="I2" s="9" t="inlineStr">
        <is>
          <t>環比%</t>
        </is>
      </c>
      <c r="J2" s="9" t="inlineStr">
        <is>
          <t>万辆</t>
        </is>
      </c>
      <c r="K2" s="9" t="inlineStr">
        <is>
          <t>同比%</t>
        </is>
      </c>
      <c r="L2" s="9" t="inlineStr">
        <is>
          <t>環比%</t>
        </is>
      </c>
      <c r="M2" s="9" t="inlineStr">
        <is>
          <t>万辆</t>
        </is>
      </c>
      <c r="N2" s="9" t="inlineStr">
        <is>
          <t>同比%</t>
        </is>
      </c>
      <c r="O2" s="9" t="inlineStr">
        <is>
          <t>環比%</t>
        </is>
      </c>
      <c r="P2" s="9" t="inlineStr">
        <is>
          <t>零售%</t>
        </is>
      </c>
    </row>
    <row r="3">
      <c r="A3" s="5" t="inlineStr">
        <is>
          <t>2023年5月</t>
        </is>
      </c>
      <c r="B3" s="6" t="n">
        <v>58</v>
      </c>
      <c r="C3" s="6" t="n">
        <v>60.9</v>
      </c>
      <c r="D3" s="6" t="n">
        <v>10.5</v>
      </c>
      <c r="E3" s="6" t="n">
        <v>242.1</v>
      </c>
      <c r="F3" s="6" t="n">
        <v>41.1</v>
      </c>
      <c r="G3" s="6" t="n">
        <v>67.3</v>
      </c>
      <c r="H3" s="6" t="n">
        <v>59.4</v>
      </c>
      <c r="I3" s="6" t="n">
        <v>11.5</v>
      </c>
      <c r="J3" s="7" t="n"/>
      <c r="K3" s="7" t="n"/>
      <c r="L3" s="7" t="n"/>
      <c r="M3" s="6" t="n">
        <v>9.199999999999999</v>
      </c>
      <c r="N3" s="6" t="n">
        <v>135.7</v>
      </c>
      <c r="O3" s="6" t="n">
        <v>1.2</v>
      </c>
      <c r="P3" s="6" t="n">
        <v>33.3</v>
      </c>
    </row>
    <row r="4">
      <c r="A4" s="5" t="inlineStr">
        <is>
          <t>2023年6月</t>
        </is>
      </c>
      <c r="B4" s="6" t="n">
        <v>66.5</v>
      </c>
      <c r="C4" s="6" t="n">
        <v>25.2</v>
      </c>
      <c r="D4" s="6" t="n">
        <v>14.7</v>
      </c>
      <c r="E4" s="6" t="n">
        <v>308.6</v>
      </c>
      <c r="F4" s="6" t="n">
        <v>37.3</v>
      </c>
      <c r="G4" s="6" t="n">
        <v>76.09999999999999</v>
      </c>
      <c r="H4" s="6" t="n">
        <v>33.4</v>
      </c>
      <c r="I4" s="6" t="n">
        <v>12.1</v>
      </c>
      <c r="J4" s="6" t="n">
        <v>93.3</v>
      </c>
      <c r="K4" s="6" t="n">
        <v>26.6</v>
      </c>
      <c r="L4" s="6" t="n">
        <v>5.8</v>
      </c>
      <c r="M4" s="6" t="n">
        <v>7</v>
      </c>
      <c r="N4" s="6" t="n">
        <v>185.3</v>
      </c>
      <c r="O4" s="6" t="n">
        <v>-27.8</v>
      </c>
      <c r="P4" s="6" t="n">
        <v>35.1</v>
      </c>
    </row>
    <row r="5">
      <c r="A5" s="5" t="inlineStr">
        <is>
          <t>2023年7月</t>
        </is>
      </c>
      <c r="B5" s="6" t="n">
        <v>64.09999999999999</v>
      </c>
      <c r="C5" s="6" t="n">
        <v>31.9</v>
      </c>
      <c r="D5" s="6" t="n">
        <v>-3.6</v>
      </c>
      <c r="E5" s="6" t="n">
        <v>372.5</v>
      </c>
      <c r="F5" s="6" t="n">
        <v>36.3</v>
      </c>
      <c r="G5" s="6" t="n">
        <v>73.7</v>
      </c>
      <c r="H5" s="6" t="n">
        <v>30.7</v>
      </c>
      <c r="I5" s="6" t="n">
        <v>-3.1</v>
      </c>
      <c r="J5" s="7" t="n"/>
      <c r="K5" s="7" t="n"/>
      <c r="L5" s="7" t="n"/>
      <c r="M5" s="6" t="n">
        <v>8.800000000000001</v>
      </c>
      <c r="N5" s="6" t="n">
        <v>80</v>
      </c>
      <c r="O5" s="6" t="n">
        <v>26</v>
      </c>
      <c r="P5" s="6" t="n">
        <v>36.1</v>
      </c>
    </row>
    <row r="6">
      <c r="A6" s="5" t="inlineStr">
        <is>
          <t>2023年8月</t>
        </is>
      </c>
      <c r="B6" s="6" t="n">
        <v>71.59999999999999</v>
      </c>
      <c r="C6" s="6" t="n">
        <v>34.5</v>
      </c>
      <c r="D6" s="6" t="n">
        <v>11.8</v>
      </c>
      <c r="E6" s="6" t="n">
        <v>444.1</v>
      </c>
      <c r="F6" s="6" t="n">
        <v>36</v>
      </c>
      <c r="G6" s="6" t="n">
        <v>79.8</v>
      </c>
      <c r="H6" s="6" t="n">
        <v>25.6</v>
      </c>
      <c r="I6" s="6" t="n">
        <v>8.199999999999999</v>
      </c>
      <c r="J6" s="7" t="n"/>
      <c r="K6" s="7" t="n"/>
      <c r="L6" s="7" t="n"/>
      <c r="M6" s="6" t="n">
        <v>7.8</v>
      </c>
      <c r="N6" s="6" t="n">
        <v>1.7</v>
      </c>
      <c r="O6" s="6" t="n">
        <v>-11.8</v>
      </c>
      <c r="P6" s="6" t="n">
        <v>37.3</v>
      </c>
    </row>
    <row r="7">
      <c r="A7" s="5" t="inlineStr">
        <is>
          <t>2023年9月</t>
        </is>
      </c>
      <c r="B7" s="6" t="n">
        <v>74.59999999999999</v>
      </c>
      <c r="C7" s="6" t="n">
        <v>22.1</v>
      </c>
      <c r="D7" s="6" t="n">
        <v>4.2</v>
      </c>
      <c r="E7" s="6" t="n">
        <v>518.8</v>
      </c>
      <c r="F7" s="6" t="n">
        <v>33.8</v>
      </c>
      <c r="G7" s="6" t="n">
        <v>82.90000000000001</v>
      </c>
      <c r="H7" s="6" t="n">
        <v>23</v>
      </c>
      <c r="I7" s="6" t="n">
        <v>4.2</v>
      </c>
      <c r="J7" s="6" t="n">
        <v>79.8</v>
      </c>
      <c r="K7" s="6" t="n">
        <v>10.7</v>
      </c>
      <c r="L7" s="6" t="n">
        <v>1.2</v>
      </c>
      <c r="M7" s="6" t="n">
        <v>9.1</v>
      </c>
      <c r="N7" s="6" t="n">
        <v>107</v>
      </c>
      <c r="O7" s="6" t="n">
        <v>16</v>
      </c>
      <c r="P7" s="6" t="n">
        <v>36.9</v>
      </c>
    </row>
    <row r="8">
      <c r="A8" s="5" t="inlineStr">
        <is>
          <t>2023年10月</t>
        </is>
      </c>
      <c r="B8" s="6" t="n">
        <v>76.7</v>
      </c>
      <c r="C8" s="6" t="n">
        <v>37.5</v>
      </c>
      <c r="D8" s="6" t="n">
        <v>2.7</v>
      </c>
      <c r="E8" s="6" t="n">
        <v>595.4</v>
      </c>
      <c r="F8" s="6" t="n">
        <v>34.2</v>
      </c>
      <c r="G8" s="6" t="n">
        <v>88.3</v>
      </c>
      <c r="H8" s="6" t="n">
        <v>30.1</v>
      </c>
      <c r="I8" s="6" t="n">
        <v>5.7</v>
      </c>
      <c r="J8" s="6" t="n">
        <v>91.90000000000001</v>
      </c>
      <c r="K8" s="6" t="n">
        <v>27.5</v>
      </c>
      <c r="L8" s="6" t="n">
        <v>13.8</v>
      </c>
      <c r="M8" s="6" t="n">
        <v>11.2</v>
      </c>
      <c r="N8" s="6" t="n">
        <v>8.199999999999999</v>
      </c>
      <c r="O8" s="6" t="n">
        <v>22.9</v>
      </c>
      <c r="P8" s="6" t="n">
        <v>37.8</v>
      </c>
    </row>
    <row r="9">
      <c r="A9" s="5" t="inlineStr">
        <is>
          <t>2023年11月</t>
        </is>
      </c>
      <c r="B9" s="6" t="n">
        <v>84.09999999999999</v>
      </c>
      <c r="C9" s="6" t="n">
        <v>39.8</v>
      </c>
      <c r="D9" s="6" t="n">
        <v>8.9</v>
      </c>
      <c r="E9" s="6" t="n">
        <v>680.9</v>
      </c>
      <c r="F9" s="6" t="n">
        <v>35.2</v>
      </c>
      <c r="G9" s="6" t="n">
        <v>96.2</v>
      </c>
      <c r="H9" s="6" t="n">
        <v>31.5</v>
      </c>
      <c r="I9" s="6" t="n">
        <v>8.199999999999999</v>
      </c>
      <c r="J9" s="6" t="n">
        <v>98.90000000000001</v>
      </c>
      <c r="K9" s="6" t="n">
        <v>37.3</v>
      </c>
      <c r="L9" s="6" t="n">
        <v>7.2</v>
      </c>
      <c r="M9" s="6" t="n">
        <v>8.9</v>
      </c>
      <c r="N9" s="6" t="n">
        <v>8</v>
      </c>
      <c r="O9" s="6" t="n">
        <v>-21</v>
      </c>
      <c r="P9" s="6" t="n">
        <v>40.4</v>
      </c>
    </row>
    <row r="10">
      <c r="A10" s="5" t="inlineStr">
        <is>
          <t>2023年12月</t>
        </is>
      </c>
      <c r="B10" s="6" t="n">
        <v>94.5</v>
      </c>
      <c r="C10" s="6" t="n">
        <v>47.3</v>
      </c>
      <c r="D10" s="6" t="n">
        <v>12.1</v>
      </c>
      <c r="E10" s="6" t="n">
        <v>773.6</v>
      </c>
      <c r="F10" s="6" t="n">
        <v>36.2</v>
      </c>
      <c r="G10" s="6" t="n">
        <v>110.8</v>
      </c>
      <c r="H10" s="6" t="n">
        <v>47.5</v>
      </c>
      <c r="I10" s="6" t="n">
        <v>15.3</v>
      </c>
      <c r="J10" s="6" t="n">
        <v>109.5</v>
      </c>
      <c r="K10" s="6" t="n">
        <v>45.4</v>
      </c>
      <c r="L10" s="6" t="n">
        <v>10.5</v>
      </c>
      <c r="M10" s="6" t="n">
        <v>10.2</v>
      </c>
      <c r="N10" s="6" t="n">
        <v>39.8</v>
      </c>
      <c r="O10" s="6" t="n">
        <v>19.4</v>
      </c>
      <c r="P10" s="6" t="n">
        <v>40.2</v>
      </c>
    </row>
    <row r="11">
      <c r="A11" s="5" t="inlineStr">
        <is>
          <t>2024年1月</t>
        </is>
      </c>
      <c r="B11" s="6" t="n">
        <v>66.8</v>
      </c>
      <c r="C11" s="6" t="n">
        <v>101.8</v>
      </c>
      <c r="D11" s="6" t="n">
        <v>-29.5</v>
      </c>
      <c r="E11" s="6" t="n">
        <v>66.8</v>
      </c>
      <c r="F11" s="6" t="n">
        <v>101.8</v>
      </c>
      <c r="G11" s="6" t="n">
        <v>68.2</v>
      </c>
      <c r="H11" s="6" t="n">
        <v>76.2</v>
      </c>
      <c r="I11" s="6" t="n">
        <v>-38.8</v>
      </c>
      <c r="J11" s="6" t="n">
        <v>73.40000000000001</v>
      </c>
      <c r="K11" s="6" t="n">
        <v>85.09999999999999</v>
      </c>
      <c r="L11" s="6" t="n">
        <v>-33.3</v>
      </c>
      <c r="M11" s="6" t="n">
        <v>9.5</v>
      </c>
      <c r="N11" s="6" t="n">
        <v>27.1</v>
      </c>
      <c r="O11" s="6" t="n">
        <v>-6.9</v>
      </c>
      <c r="P11" s="6" t="n">
        <v>32.8</v>
      </c>
    </row>
    <row r="12">
      <c r="A12" s="5" t="inlineStr">
        <is>
          <t>2024年2月</t>
        </is>
      </c>
      <c r="B12" s="6" t="n">
        <v>38.8</v>
      </c>
      <c r="C12" s="6" t="n">
        <v>-11.6</v>
      </c>
      <c r="D12" s="6" t="n">
        <v>-42.1</v>
      </c>
      <c r="E12" s="6" t="n">
        <v>105.6</v>
      </c>
      <c r="F12" s="7" t="n"/>
      <c r="G12" s="6" t="n">
        <v>44.7</v>
      </c>
      <c r="H12" s="6" t="n">
        <v>-9.699999999999999</v>
      </c>
      <c r="I12" s="6" t="n">
        <v>-35</v>
      </c>
      <c r="J12" s="6" t="n">
        <v>42.6</v>
      </c>
      <c r="K12" s="6" t="n">
        <v>-17.7</v>
      </c>
      <c r="L12" s="6" t="n">
        <v>-42.3</v>
      </c>
      <c r="M12" s="6" t="n">
        <v>7.9</v>
      </c>
      <c r="N12" s="6" t="n">
        <v>0.1</v>
      </c>
      <c r="O12" s="6" t="n">
        <v>-20</v>
      </c>
      <c r="P12" s="6" t="n">
        <v>35.8</v>
      </c>
    </row>
    <row r="13">
      <c r="A13" s="5" t="inlineStr">
        <is>
          <t>2024年3月</t>
        </is>
      </c>
      <c r="B13" s="6" t="n">
        <v>70.90000000000001</v>
      </c>
      <c r="C13" s="6" t="n">
        <v>29.5</v>
      </c>
      <c r="D13" s="6" t="n">
        <v>82.5</v>
      </c>
      <c r="E13" s="6" t="n">
        <v>176.4</v>
      </c>
      <c r="F13" s="7" t="n"/>
      <c r="G13" s="6" t="n">
        <v>81</v>
      </c>
      <c r="H13" s="6" t="n">
        <v>31.1</v>
      </c>
      <c r="I13" s="6" t="n">
        <v>81.3</v>
      </c>
      <c r="J13" s="6" t="n">
        <v>78.8</v>
      </c>
      <c r="K13" s="6" t="n">
        <v>25.2</v>
      </c>
      <c r="L13" s="6" t="n">
        <v>84.90000000000001</v>
      </c>
      <c r="M13" s="6" t="n">
        <v>12</v>
      </c>
      <c r="N13" s="6" t="n">
        <v>70.90000000000001</v>
      </c>
      <c r="O13" s="6" t="n">
        <v>52.8</v>
      </c>
      <c r="P13" s="6" t="n">
        <v>41.6</v>
      </c>
    </row>
    <row r="14">
      <c r="A14" s="5" t="inlineStr">
        <is>
          <t>2024年4月</t>
        </is>
      </c>
      <c r="B14" s="6" t="n">
        <v>67.40000000000001</v>
      </c>
      <c r="C14" s="6" t="n">
        <v>28.3</v>
      </c>
      <c r="D14" s="6" t="n">
        <v>-5.7</v>
      </c>
      <c r="E14" s="6" t="n">
        <v>243.9</v>
      </c>
      <c r="F14" s="7" t="n"/>
      <c r="G14" s="6" t="n">
        <v>78.5</v>
      </c>
      <c r="H14" s="6" t="n">
        <v>30</v>
      </c>
      <c r="I14" s="6" t="n">
        <v>-3.7</v>
      </c>
      <c r="J14" s="6" t="n">
        <v>80.2</v>
      </c>
      <c r="K14" s="6" t="n">
        <v>33.5</v>
      </c>
      <c r="L14" s="6" t="n">
        <v>0.9</v>
      </c>
      <c r="M14" s="6" t="n">
        <v>11.5</v>
      </c>
      <c r="N14" s="6" t="n">
        <v>26.8</v>
      </c>
      <c r="O14" s="6" t="n">
        <v>-4.1</v>
      </c>
      <c r="P14" s="6" t="n">
        <v>43.7</v>
      </c>
    </row>
    <row r="15">
      <c r="A15" s="5" t="inlineStr">
        <is>
          <t>2024年5月</t>
        </is>
      </c>
      <c r="B15" s="6" t="n">
        <v>80.40000000000001</v>
      </c>
      <c r="C15" s="6" t="n">
        <v>38.5</v>
      </c>
      <c r="D15" s="6" t="n">
        <v>18.7</v>
      </c>
      <c r="E15" s="6" t="n">
        <v>324.2</v>
      </c>
      <c r="F15" s="7" t="n"/>
      <c r="G15" s="6" t="n">
        <v>89.7</v>
      </c>
      <c r="H15" s="6" t="n">
        <v>32.1</v>
      </c>
      <c r="I15" s="6" t="n">
        <v>13.8</v>
      </c>
      <c r="J15" s="6" t="n">
        <v>88.09999999999999</v>
      </c>
      <c r="K15" s="6" t="n">
        <v>31</v>
      </c>
      <c r="L15" s="6" t="n">
        <v>9.9</v>
      </c>
      <c r="M15" s="6" t="n">
        <v>9.4</v>
      </c>
      <c r="N15" s="6" t="n">
        <v>-4</v>
      </c>
      <c r="O15" s="6" t="n">
        <v>-18.8</v>
      </c>
      <c r="P15" s="6" t="n">
        <v>47</v>
      </c>
    </row>
    <row r="16">
      <c r="A16" s="5" t="inlineStr">
        <is>
          <t>2024年6月</t>
        </is>
      </c>
      <c r="B16" s="6" t="n">
        <v>85.59999999999999</v>
      </c>
      <c r="C16" s="6" t="n">
        <v>28.6</v>
      </c>
      <c r="D16" s="6" t="n">
        <v>6.4</v>
      </c>
      <c r="E16" s="6" t="n">
        <v>411.1</v>
      </c>
      <c r="F16" s="6" t="n">
        <v>33.1</v>
      </c>
      <c r="G16" s="6" t="n">
        <v>98.2</v>
      </c>
      <c r="H16" s="6" t="n">
        <v>29</v>
      </c>
      <c r="I16" s="6" t="n">
        <v>9.5</v>
      </c>
      <c r="J16" s="6" t="n">
        <v>93.3</v>
      </c>
      <c r="K16" s="6" t="n">
        <v>26.6</v>
      </c>
      <c r="L16" s="6" t="n">
        <v>5.8</v>
      </c>
      <c r="M16" s="6" t="n">
        <v>8</v>
      </c>
      <c r="N16" s="6" t="n">
        <v>12.3</v>
      </c>
      <c r="O16" s="6" t="n">
        <v>-15.2</v>
      </c>
      <c r="P16" s="6" t="n">
        <v>48.4</v>
      </c>
    </row>
    <row r="17">
      <c r="A17" s="5" t="inlineStr">
        <is>
          <t>2024年7月</t>
        </is>
      </c>
      <c r="B17" s="6" t="n">
        <v>87.8</v>
      </c>
      <c r="C17" s="6" t="n">
        <v>36.9</v>
      </c>
      <c r="D17" s="6" t="n">
        <v>2.8</v>
      </c>
      <c r="E17" s="6" t="n">
        <v>498.8</v>
      </c>
      <c r="F17" s="6" t="n">
        <v>33.7</v>
      </c>
      <c r="G17" s="6" t="n">
        <v>94.5</v>
      </c>
      <c r="H17" s="6" t="n">
        <v>27.6</v>
      </c>
      <c r="I17" s="6" t="n">
        <v>-3.6</v>
      </c>
      <c r="J17" s="6" t="n">
        <v>93.3</v>
      </c>
      <c r="K17" s="6" t="n">
        <v>21.7</v>
      </c>
      <c r="L17" s="6" t="n">
        <v>0</v>
      </c>
      <c r="M17" s="6" t="n">
        <v>9.199999999999999</v>
      </c>
      <c r="N17" s="6" t="n">
        <v>1.3</v>
      </c>
      <c r="O17" s="6" t="n">
        <v>18.2</v>
      </c>
      <c r="P17" s="6" t="n">
        <v>51.1</v>
      </c>
    </row>
    <row r="18">
      <c r="A18" s="5" t="inlineStr">
        <is>
          <t>2024年8月</t>
        </is>
      </c>
      <c r="B18" s="6" t="n">
        <v>102.7</v>
      </c>
      <c r="C18" s="6" t="n">
        <v>43.2</v>
      </c>
      <c r="D18" s="6" t="n">
        <v>17</v>
      </c>
      <c r="E18" s="6" t="n">
        <v>601.6</v>
      </c>
      <c r="F18" s="6" t="n">
        <v>35.3</v>
      </c>
      <c r="G18" s="6" t="n">
        <v>105.2</v>
      </c>
      <c r="H18" s="6" t="n">
        <v>31.7</v>
      </c>
      <c r="I18" s="6" t="n">
        <v>11.4</v>
      </c>
      <c r="J18" s="6" t="n">
        <v>105.1</v>
      </c>
      <c r="K18" s="6" t="n">
        <v>32.6</v>
      </c>
      <c r="L18" s="6" t="n">
        <v>12.7</v>
      </c>
      <c r="M18" s="6" t="n">
        <v>9.9</v>
      </c>
      <c r="N18" s="6" t="n">
        <v>23.7</v>
      </c>
      <c r="O18" s="6" t="n">
        <v>7.6</v>
      </c>
      <c r="P18" s="6" t="n">
        <v>53.9</v>
      </c>
    </row>
    <row r="19">
      <c r="A19" s="5" t="inlineStr">
        <is>
          <t>2024年9月</t>
        </is>
      </c>
      <c r="B19" s="6" t="n">
        <v>112.3</v>
      </c>
      <c r="C19" s="6" t="n">
        <v>50.9</v>
      </c>
      <c r="D19" s="6" t="n">
        <v>9.6</v>
      </c>
      <c r="E19" s="6" t="n">
        <v>713.2</v>
      </c>
      <c r="F19" s="6" t="n">
        <v>37.4</v>
      </c>
      <c r="G19" s="6" t="n">
        <v>123.1</v>
      </c>
      <c r="H19" s="6" t="n">
        <v>48.1</v>
      </c>
      <c r="I19" s="6" t="n">
        <v>17.2</v>
      </c>
      <c r="J19" s="6" t="n">
        <v>121.9</v>
      </c>
      <c r="K19" s="6" t="n">
        <v>51.5</v>
      </c>
      <c r="L19" s="6" t="n">
        <v>16.2</v>
      </c>
      <c r="M19" s="6" t="n">
        <v>10.5</v>
      </c>
      <c r="N19" s="6" t="n">
        <v>19.3</v>
      </c>
      <c r="O19" s="6" t="n">
        <v>6</v>
      </c>
      <c r="P19" s="6" t="n">
        <v>53.3</v>
      </c>
    </row>
    <row r="20">
      <c r="A20" s="5" t="inlineStr">
        <is>
          <t>2024年10月</t>
        </is>
      </c>
      <c r="B20" s="6" t="n">
        <v>119.6</v>
      </c>
      <c r="C20" s="6" t="n">
        <v>56.7</v>
      </c>
      <c r="D20" s="6" t="n">
        <v>6.4</v>
      </c>
      <c r="E20" s="6" t="n">
        <v>832.7</v>
      </c>
      <c r="F20" s="6" t="n">
        <v>39.8</v>
      </c>
      <c r="G20" s="6" t="n">
        <v>136.9</v>
      </c>
      <c r="H20" s="6" t="n">
        <v>55.2</v>
      </c>
      <c r="I20" s="6" t="n">
        <v>11.2</v>
      </c>
      <c r="J20" s="6" t="n">
        <v>137.9</v>
      </c>
      <c r="K20" s="6" t="n">
        <v>49.9</v>
      </c>
      <c r="L20" s="6" t="n">
        <v>12.6</v>
      </c>
      <c r="M20" s="6" t="n">
        <v>12</v>
      </c>
      <c r="N20" s="6" t="n">
        <v>10.4</v>
      </c>
      <c r="O20" s="6" t="n">
        <v>13.7</v>
      </c>
      <c r="P20" s="6" t="n">
        <v>52.9</v>
      </c>
    </row>
    <row r="21">
      <c r="A21" s="5" t="inlineStr">
        <is>
          <t>2024年11月</t>
        </is>
      </c>
      <c r="B21" s="6" t="n">
        <v>126.8</v>
      </c>
      <c r="C21" s="6" t="n">
        <v>50.5</v>
      </c>
      <c r="D21" s="6" t="n">
        <v>5.9</v>
      </c>
      <c r="E21" s="6" t="n">
        <v>959.4</v>
      </c>
      <c r="F21" s="6" t="n">
        <v>41.2</v>
      </c>
      <c r="G21" s="6" t="n">
        <v>143.8</v>
      </c>
      <c r="H21" s="6" t="n">
        <v>49.6</v>
      </c>
      <c r="I21" s="6" t="n">
        <v>4.9</v>
      </c>
      <c r="J21" s="6" t="n">
        <v>148.1</v>
      </c>
      <c r="K21" s="6" t="n">
        <v>49.3</v>
      </c>
      <c r="L21" s="6" t="n">
        <v>7.1</v>
      </c>
      <c r="M21" s="6" t="n">
        <v>8</v>
      </c>
      <c r="N21" s="6" t="n">
        <v>-6.3</v>
      </c>
      <c r="O21" s="6" t="n">
        <v>-33.3</v>
      </c>
      <c r="P21" s="6" t="n">
        <v>52.3</v>
      </c>
    </row>
    <row r="22">
      <c r="A22" s="5" t="inlineStr">
        <is>
          <t>2024年12月</t>
        </is>
      </c>
      <c r="B22" s="6" t="n">
        <v>130.2</v>
      </c>
      <c r="C22" s="6" t="n">
        <v>37.5</v>
      </c>
      <c r="D22" s="6" t="n">
        <v>2.6</v>
      </c>
      <c r="E22" s="6" t="n">
        <v>1089.9</v>
      </c>
      <c r="F22" s="6" t="n">
        <v>40.7</v>
      </c>
      <c r="G22" s="6" t="n">
        <v>151.2</v>
      </c>
      <c r="H22" s="6" t="n">
        <v>35.6</v>
      </c>
      <c r="I22" s="6" t="n">
        <v>5</v>
      </c>
      <c r="J22" s="6" t="n">
        <v>145.5</v>
      </c>
      <c r="K22" s="6" t="n">
        <v>32.2</v>
      </c>
      <c r="L22" s="6" t="n">
        <v>-2</v>
      </c>
      <c r="M22" s="6" t="n">
        <v>12.2</v>
      </c>
      <c r="N22" s="6" t="n">
        <v>21.5</v>
      </c>
      <c r="O22" s="6" t="n">
        <v>52.9</v>
      </c>
      <c r="P22" s="6" t="n">
        <v>49.4</v>
      </c>
    </row>
    <row r="23">
      <c r="A23" s="5" t="inlineStr">
        <is>
          <t>2025年1月</t>
        </is>
      </c>
      <c r="B23" s="6" t="n">
        <v>74.40000000000001</v>
      </c>
      <c r="C23" s="6" t="n">
        <v>10.5</v>
      </c>
      <c r="D23" s="6" t="n">
        <v>-42.9</v>
      </c>
      <c r="E23" s="6" t="n">
        <v>74.40000000000001</v>
      </c>
      <c r="F23" s="6" t="n">
        <v>10.5</v>
      </c>
      <c r="G23" s="6" t="n">
        <v>88.90000000000001</v>
      </c>
      <c r="H23" s="6" t="n">
        <v>27.1</v>
      </c>
      <c r="I23" s="6" t="n">
        <v>-41.2</v>
      </c>
      <c r="J23" s="6" t="n">
        <v>94</v>
      </c>
      <c r="K23" s="6" t="n">
        <v>25.8</v>
      </c>
      <c r="L23" s="6" t="n">
        <v>-35.1</v>
      </c>
      <c r="M23" s="6" t="n">
        <v>13.9</v>
      </c>
      <c r="N23" s="6" t="n">
        <v>29.4</v>
      </c>
      <c r="O23" s="6" t="n">
        <v>13.9</v>
      </c>
      <c r="P23" s="6" t="n">
        <v>41.5</v>
      </c>
    </row>
    <row r="24">
      <c r="A24" s="5" t="inlineStr">
        <is>
          <t>2025年2月</t>
        </is>
      </c>
      <c r="B24" s="6" t="n">
        <v>68.59999999999999</v>
      </c>
      <c r="C24" s="6" t="n">
        <v>79.7</v>
      </c>
      <c r="D24" s="6" t="n">
        <v>-7.8</v>
      </c>
      <c r="E24" s="6" t="n">
        <v>143</v>
      </c>
      <c r="F24" s="6" t="n">
        <v>35.5</v>
      </c>
      <c r="G24" s="6" t="n">
        <v>83</v>
      </c>
      <c r="H24" s="6" t="n">
        <v>79.59999999999999</v>
      </c>
      <c r="I24" s="6" t="n">
        <v>-6.7</v>
      </c>
      <c r="J24" s="6" t="n">
        <v>81.90000000000001</v>
      </c>
      <c r="K24" s="6" t="n">
        <v>85.90000000000001</v>
      </c>
      <c r="L24" s="6" t="n">
        <v>-12.8</v>
      </c>
      <c r="M24" s="6" t="n">
        <v>11.8</v>
      </c>
      <c r="N24" s="6" t="n">
        <v>27.8</v>
      </c>
      <c r="O24" s="6" t="n">
        <v>-15.2</v>
      </c>
      <c r="P24" s="6" t="n">
        <v>49.5</v>
      </c>
    </row>
    <row r="25">
      <c r="A25" s="5" t="inlineStr">
        <is>
          <t>2025年3月</t>
        </is>
      </c>
      <c r="B25" s="6" t="n">
        <v>99.09999999999999</v>
      </c>
      <c r="C25" s="6" t="n">
        <v>38</v>
      </c>
      <c r="D25" s="6" t="n">
        <v>45</v>
      </c>
      <c r="E25" s="6" t="n">
        <v>242</v>
      </c>
      <c r="F25" s="6" t="n">
        <v>36.4</v>
      </c>
      <c r="G25" s="6" t="n">
        <v>112.8</v>
      </c>
      <c r="H25" s="6" t="n">
        <v>35.5</v>
      </c>
      <c r="I25" s="6" t="n">
        <v>35.9</v>
      </c>
      <c r="J25" s="6" t="n">
        <v>116.5</v>
      </c>
      <c r="K25" s="6" t="n">
        <v>43</v>
      </c>
      <c r="L25" s="6" t="n">
        <v>42.1</v>
      </c>
      <c r="M25" s="6" t="n">
        <v>14.3</v>
      </c>
      <c r="N25" s="6" t="n">
        <v>6.4</v>
      </c>
      <c r="O25" s="6" t="n">
        <v>21.2</v>
      </c>
      <c r="P25" s="6" t="n">
        <v>51.1</v>
      </c>
    </row>
    <row r="26">
      <c r="A26" s="5" t="inlineStr">
        <is>
          <t>2025年4月</t>
        </is>
      </c>
      <c r="B26" s="6" t="n">
        <v>90.5</v>
      </c>
      <c r="C26" s="6" t="n">
        <v>33.9</v>
      </c>
      <c r="D26" s="6" t="n">
        <v>-8.699999999999999</v>
      </c>
      <c r="E26" s="6" t="n">
        <v>332.4</v>
      </c>
      <c r="F26" s="6" t="n">
        <v>35.7</v>
      </c>
      <c r="G26" s="6" t="n">
        <v>113.3</v>
      </c>
      <c r="H26" s="6" t="n">
        <v>40.2</v>
      </c>
      <c r="I26" s="6" t="n">
        <v>0.3</v>
      </c>
      <c r="J26" s="6" t="n">
        <v>115.1</v>
      </c>
      <c r="K26" s="6" t="n">
        <v>40.3</v>
      </c>
      <c r="L26" s="6" t="n">
        <v>-1.5</v>
      </c>
      <c r="M26" s="6" t="n">
        <v>18.9</v>
      </c>
      <c r="N26" s="6" t="n">
        <v>44.2</v>
      </c>
      <c r="O26" s="6" t="n">
        <v>31.6</v>
      </c>
      <c r="P26" s="6" t="n">
        <v>51.5</v>
      </c>
    </row>
    <row r="27">
      <c r="A27" s="5" t="inlineStr">
        <is>
          <t>2025年5月</t>
        </is>
      </c>
      <c r="B27" s="6" t="n">
        <v>102.1</v>
      </c>
      <c r="C27" s="6" t="n">
        <v>28.2</v>
      </c>
      <c r="D27" s="6" t="n">
        <v>12.1</v>
      </c>
      <c r="E27" s="6" t="n">
        <v>435.1</v>
      </c>
      <c r="F27" s="6" t="n">
        <v>34.1</v>
      </c>
      <c r="G27" s="6" t="n">
        <v>121.6</v>
      </c>
      <c r="H27" s="6" t="n">
        <v>33</v>
      </c>
      <c r="I27" s="6" t="n">
        <v>7</v>
      </c>
      <c r="J27" s="6" t="n">
        <v>116.7</v>
      </c>
      <c r="K27" s="6" t="n">
        <v>30.2</v>
      </c>
      <c r="L27" s="6" t="n">
        <v>1.1</v>
      </c>
      <c r="M27" s="6" t="n">
        <v>20</v>
      </c>
      <c r="N27" s="6" t="n">
        <v>80.90000000000001</v>
      </c>
      <c r="O27" s="6" t="n">
        <v>5.8</v>
      </c>
      <c r="P27" s="6" t="n">
        <v>52.9</v>
      </c>
    </row>
    <row r="28">
      <c r="A28" s="5" t="inlineStr">
        <is>
          <t>2025年6月</t>
        </is>
      </c>
      <c r="B28" s="6" t="n">
        <v>111.1</v>
      </c>
      <c r="C28" s="6" t="n">
        <v>29.7</v>
      </c>
      <c r="D28" s="6" t="n">
        <v>8.199999999999999</v>
      </c>
      <c r="E28" s="6" t="n">
        <v>546.8</v>
      </c>
      <c r="F28" s="6" t="n">
        <v>33.3</v>
      </c>
      <c r="G28" s="6" t="n">
        <v>124.1</v>
      </c>
      <c r="H28" s="6" t="n">
        <v>27</v>
      </c>
      <c r="I28" s="6" t="n">
        <v>1.6</v>
      </c>
      <c r="J28" s="6" t="n">
        <v>120</v>
      </c>
      <c r="K28" s="6" t="n">
        <v>28.3</v>
      </c>
      <c r="L28" s="6" t="n">
        <v>2</v>
      </c>
      <c r="M28" s="6" t="n">
        <v>19.8</v>
      </c>
      <c r="N28" s="6" t="n">
        <v>116.6</v>
      </c>
      <c r="O28" s="6" t="n">
        <v>-1</v>
      </c>
      <c r="P28" s="6" t="n">
        <v>53.3</v>
      </c>
    </row>
    <row r="29">
      <c r="A29" s="5" t="inlineStr">
        <is>
          <t>2025年7月</t>
        </is>
      </c>
      <c r="B29" s="6" t="n">
        <v>98.7</v>
      </c>
      <c r="C29" s="6" t="n">
        <v>12</v>
      </c>
      <c r="D29" s="6" t="n">
        <v>-11.2</v>
      </c>
      <c r="E29" s="6" t="n">
        <v>645.5</v>
      </c>
      <c r="F29" s="6" t="n">
        <v>29.5</v>
      </c>
      <c r="G29" s="6" t="n">
        <v>118.1</v>
      </c>
      <c r="H29" s="6" t="n">
        <v>24.4</v>
      </c>
      <c r="I29" s="6" t="n">
        <v>-4.8</v>
      </c>
      <c r="J29" s="6" t="n">
        <v>114.7</v>
      </c>
      <c r="K29" s="6" t="n">
        <v>22.3</v>
      </c>
      <c r="L29" s="6" t="n">
        <v>-3.3</v>
      </c>
      <c r="M29" s="6" t="n">
        <v>21.3</v>
      </c>
      <c r="N29" s="6" t="n">
        <v>120.4</v>
      </c>
      <c r="O29" s="6" t="n">
        <v>7.6</v>
      </c>
      <c r="P29" s="6" t="n">
        <v>54</v>
      </c>
    </row>
    <row r="30">
      <c r="A30" s="5" t="inlineStr">
        <is>
          <t>2025年8月</t>
        </is>
      </c>
      <c r="B30" s="6" t="n">
        <v>110.1</v>
      </c>
      <c r="C30" s="6" t="n">
        <v>7.5</v>
      </c>
      <c r="D30" s="6" t="n">
        <v>11.6</v>
      </c>
      <c r="E30" s="6" t="n">
        <v>755.6</v>
      </c>
      <c r="F30" s="6" t="n">
        <v>25.8</v>
      </c>
      <c r="G30" s="6" t="n">
        <v>128.2</v>
      </c>
      <c r="H30" s="6" t="n">
        <v>22.3</v>
      </c>
      <c r="I30" s="6" t="n">
        <v>7.8</v>
      </c>
      <c r="J30" s="6" t="n">
        <v>125.6</v>
      </c>
      <c r="K30" s="6" t="n">
        <v>21</v>
      </c>
      <c r="L30" s="6" t="n">
        <v>9.1</v>
      </c>
      <c r="M30" s="6" t="n">
        <v>20.4</v>
      </c>
      <c r="N30" s="6" t="n">
        <v>102.7</v>
      </c>
      <c r="O30" s="6" t="n">
        <v>-6.5</v>
      </c>
      <c r="P30" s="6" t="n">
        <v>55.2</v>
      </c>
    </row>
    <row r="31">
      <c r="A31" s="5" t="inlineStr">
        <is>
          <t>2025年9月</t>
        </is>
      </c>
      <c r="B31" s="6" t="n">
        <v>129.6</v>
      </c>
      <c r="C31" s="6" t="n">
        <v>15.5</v>
      </c>
      <c r="D31" s="6" t="n">
        <v>16.2</v>
      </c>
      <c r="E31" s="6" t="n">
        <v>886.6</v>
      </c>
      <c r="F31" s="6" t="n">
        <v>24.4</v>
      </c>
      <c r="G31" s="6" t="n">
        <v>150</v>
      </c>
      <c r="H31" s="6" t="n">
        <v>22.4</v>
      </c>
      <c r="I31" s="6" t="n">
        <v>15.9</v>
      </c>
      <c r="J31" s="6" t="n">
        <v>150.1</v>
      </c>
      <c r="K31" s="6" t="n">
        <v>22.9</v>
      </c>
      <c r="L31" s="6" t="n">
        <v>17.5</v>
      </c>
      <c r="M31" s="6" t="n">
        <v>21.1</v>
      </c>
      <c r="N31" s="6" t="n">
        <v>96.5</v>
      </c>
      <c r="O31" s="6" t="n">
        <v>3.9</v>
      </c>
      <c r="P31" s="6" t="n">
        <v>57.8</v>
      </c>
    </row>
    <row r="32">
      <c r="A32" s="5" t="inlineStr">
        <is>
          <t>2025年10月</t>
        </is>
      </c>
      <c r="B32" s="6" t="n">
        <v>128.2</v>
      </c>
      <c r="C32" s="6" t="n">
        <v>7.3</v>
      </c>
      <c r="D32" s="6" t="n">
        <v>-1.3</v>
      </c>
      <c r="E32" s="6" t="n">
        <v>1015.1</v>
      </c>
      <c r="F32" s="6" t="n">
        <v>21.9</v>
      </c>
      <c r="G32" s="6" t="n">
        <v>162.1</v>
      </c>
      <c r="H32" s="6" t="n">
        <v>18.5</v>
      </c>
      <c r="I32" s="6" t="n">
        <v>8.5</v>
      </c>
      <c r="J32" s="6" t="n">
        <v>165.7</v>
      </c>
      <c r="K32" s="6" t="n">
        <v>19.8</v>
      </c>
      <c r="L32" s="6" t="n">
        <v>10.2</v>
      </c>
      <c r="M32" s="6" t="n">
        <v>25.1</v>
      </c>
      <c r="N32" s="6" t="n">
        <v>104.2</v>
      </c>
      <c r="O32" s="6" t="n">
        <v>18.6</v>
      </c>
      <c r="P32" s="6" t="n">
        <v>57.2</v>
      </c>
    </row>
    <row r="33">
      <c r="A33" s="5" t="inlineStr">
        <is>
          <t>2025年11月</t>
        </is>
      </c>
      <c r="B33" s="6" t="n">
        <v>132.1</v>
      </c>
      <c r="C33" s="6" t="n">
        <v>4.2</v>
      </c>
      <c r="D33" s="6" t="n">
        <v>3</v>
      </c>
      <c r="E33" s="6" t="n">
        <v>1147.2</v>
      </c>
      <c r="F33" s="6" t="n">
        <v>19.6</v>
      </c>
      <c r="G33" s="6" t="n">
        <v>170.6</v>
      </c>
      <c r="H33" s="6" t="n">
        <v>18.7</v>
      </c>
      <c r="I33" s="6" t="n">
        <v>5.8</v>
      </c>
      <c r="J33" s="6" t="n">
        <v>175.7</v>
      </c>
      <c r="K33" s="6" t="n">
        <v>18.3</v>
      </c>
      <c r="L33" s="6" t="n">
        <v>6.3</v>
      </c>
      <c r="M33" s="6" t="n">
        <v>28.4</v>
      </c>
      <c r="N33" s="6" t="n">
        <v>243.3</v>
      </c>
      <c r="O33" s="6" t="n">
        <v>19.3</v>
      </c>
      <c r="P33" s="6" t="n">
        <v>59.3</v>
      </c>
    </row>
    <row r="34">
      <c r="A34" s="5" t="inlineStr">
        <is>
          <t>2025年12月</t>
        </is>
      </c>
      <c r="B34" s="6" t="n">
        <v>133.7</v>
      </c>
      <c r="C34" s="6" t="n">
        <v>2.6</v>
      </c>
      <c r="D34" s="6" t="n">
        <v>1.2</v>
      </c>
      <c r="E34" s="6" t="n">
        <v>1280.9</v>
      </c>
      <c r="F34" s="6" t="n">
        <v>17.6</v>
      </c>
      <c r="G34" s="6" t="n">
        <v>156.3</v>
      </c>
      <c r="H34" s="6" t="n">
        <v>3.3</v>
      </c>
      <c r="I34" s="6" t="n">
        <v>-8.4</v>
      </c>
      <c r="J34" s="6" t="n">
        <v>156</v>
      </c>
      <c r="K34" s="6" t="n">
        <v>7.6</v>
      </c>
      <c r="L34" s="6" t="n">
        <v>-11.2</v>
      </c>
      <c r="M34" s="6" t="n">
        <v>27.3</v>
      </c>
      <c r="N34" s="6" t="n">
        <v>119.8</v>
      </c>
      <c r="O34" s="6" t="n">
        <v>-4</v>
      </c>
      <c r="P34" s="6" t="n">
        <v>59.1</v>
      </c>
    </row>
    <row r="35">
      <c r="A35" s="5" t="inlineStr">
        <is>
          <t>2026年1月</t>
        </is>
      </c>
      <c r="B35" s="6" t="n">
        <v>59.6</v>
      </c>
      <c r="C35" s="6" t="n">
        <v>-20</v>
      </c>
      <c r="D35" s="7" t="n"/>
      <c r="E35" s="6" t="n">
        <v>59.6</v>
      </c>
      <c r="F35" s="6" t="n">
        <v>-20</v>
      </c>
      <c r="G35" s="6" t="n">
        <v>86.40000000000001</v>
      </c>
      <c r="H35" s="6" t="n">
        <v>-3.3</v>
      </c>
      <c r="I35" s="7" t="n"/>
      <c r="J35" s="6" t="n">
        <v>93.8</v>
      </c>
      <c r="K35" s="6" t="n">
        <v>-0.6</v>
      </c>
      <c r="L35" s="7" t="n"/>
      <c r="M35" s="6" t="n">
        <v>28.6</v>
      </c>
      <c r="N35" s="6" t="n">
        <v>103.6</v>
      </c>
      <c r="O35" s="7" t="n"/>
      <c r="P35" s="6" t="n">
        <v>38.6</v>
      </c>
    </row>
  </sheetData>
  <mergeCells count="5">
    <mergeCell ref="J1:L1"/>
    <mergeCell ref="B1:D1"/>
    <mergeCell ref="E1:F1"/>
    <mergeCell ref="M1:O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0" t="inlineStr">
        <is>
          <t>月份</t>
        </is>
      </c>
      <c r="B1" s="10" t="inlineStr">
        <is>
          <t>純電動(BEV)</t>
        </is>
      </c>
      <c r="C1" s="2" t="n"/>
      <c r="D1" s="3" t="n"/>
      <c r="E1" s="10" t="inlineStr">
        <is>
          <t>狭義PHEV</t>
        </is>
      </c>
      <c r="F1" s="2" t="n"/>
      <c r="G1" s="3" t="n"/>
      <c r="H1" s="10" t="inlineStr">
        <is>
          <t>増程式(EREV)</t>
        </is>
      </c>
      <c r="I1" s="2" t="n"/>
      <c r="J1" s="3" t="n"/>
      <c r="K1" s="10" t="inlineStr">
        <is>
          <t>構造占比</t>
        </is>
      </c>
      <c r="L1" s="2" t="n"/>
      <c r="M1" s="3" t="n"/>
    </row>
    <row r="2">
      <c r="A2" s="11" t="inlineStr"/>
      <c r="B2" s="11" t="inlineStr">
        <is>
          <t>万辆</t>
        </is>
      </c>
      <c r="C2" s="11" t="inlineStr">
        <is>
          <t>同比%</t>
        </is>
      </c>
      <c r="D2" s="11" t="inlineStr">
        <is>
          <t>環比%</t>
        </is>
      </c>
      <c r="E2" s="11" t="inlineStr">
        <is>
          <t>万辆</t>
        </is>
      </c>
      <c r="F2" s="11" t="inlineStr">
        <is>
          <t>同比%</t>
        </is>
      </c>
      <c r="G2" s="11" t="inlineStr">
        <is>
          <t>環比%</t>
        </is>
      </c>
      <c r="H2" s="11" t="inlineStr">
        <is>
          <t>万辆</t>
        </is>
      </c>
      <c r="I2" s="11" t="inlineStr">
        <is>
          <t>同比%</t>
        </is>
      </c>
      <c r="J2" s="11" t="inlineStr">
        <is>
          <t>環比%</t>
        </is>
      </c>
      <c r="K2" s="11" t="inlineStr">
        <is>
          <t>BEV%</t>
        </is>
      </c>
      <c r="L2" s="11" t="inlineStr">
        <is>
          <t>PHEV%</t>
        </is>
      </c>
      <c r="M2" s="11" t="inlineStr">
        <is>
          <t>EREV%</t>
        </is>
      </c>
    </row>
    <row r="3">
      <c r="A3" s="5" t="inlineStr">
        <is>
          <t>2023年5月</t>
        </is>
      </c>
      <c r="B3" s="6" t="n">
        <v>48</v>
      </c>
      <c r="C3" s="6" t="n">
        <v>48</v>
      </c>
      <c r="D3" s="6" t="n">
        <v>10</v>
      </c>
      <c r="E3" s="6" t="n">
        <v>19.4</v>
      </c>
      <c r="F3" s="6" t="n">
        <v>98</v>
      </c>
      <c r="G3" s="6" t="n">
        <v>16</v>
      </c>
      <c r="H3" s="7" t="n"/>
      <c r="I3" s="7" t="n"/>
      <c r="J3" s="7" t="n"/>
      <c r="K3" s="6" t="n">
        <v>59</v>
      </c>
      <c r="L3" s="6" t="n">
        <v>31</v>
      </c>
      <c r="M3" s="6" t="n">
        <v>10</v>
      </c>
    </row>
    <row r="4">
      <c r="A4" s="5" t="inlineStr">
        <is>
          <t>2023年6月</t>
        </is>
      </c>
      <c r="B4" s="6" t="n">
        <v>52.8</v>
      </c>
      <c r="C4" s="6" t="n">
        <v>17</v>
      </c>
      <c r="D4" s="6" t="n">
        <v>9</v>
      </c>
      <c r="E4" s="6" t="n">
        <v>23.3</v>
      </c>
      <c r="F4" s="6" t="n">
        <v>95.7</v>
      </c>
      <c r="G4" s="6" t="n">
        <v>20.1</v>
      </c>
      <c r="H4" s="6" t="n">
        <v>11.6</v>
      </c>
      <c r="I4" s="6" t="n">
        <v>113</v>
      </c>
      <c r="J4" s="6" t="n">
        <v>28</v>
      </c>
      <c r="K4" s="6" t="n">
        <v>57</v>
      </c>
      <c r="L4" s="6" t="n">
        <v>31</v>
      </c>
      <c r="M4" s="6" t="n">
        <v>12</v>
      </c>
    </row>
    <row r="5">
      <c r="A5" s="5" t="inlineStr">
        <is>
          <t>2023年7月</t>
        </is>
      </c>
      <c r="B5" s="6" t="n">
        <v>49.6</v>
      </c>
      <c r="C5" s="6" t="n">
        <v>15.3</v>
      </c>
      <c r="D5" s="6" t="n">
        <v>-6.1</v>
      </c>
      <c r="E5" s="6" t="n">
        <v>24.2</v>
      </c>
      <c r="F5" s="6" t="n">
        <v>80</v>
      </c>
      <c r="G5" s="6" t="n">
        <v>3.8</v>
      </c>
      <c r="H5" s="6" t="n">
        <v>5.5</v>
      </c>
      <c r="I5" s="6" t="n">
        <v>173</v>
      </c>
      <c r="J5" s="6" t="n">
        <v>4</v>
      </c>
      <c r="K5" s="6" t="n">
        <v>68</v>
      </c>
      <c r="L5" s="6" t="n">
        <v>25</v>
      </c>
      <c r="M5" s="6" t="n">
        <v>8</v>
      </c>
    </row>
    <row r="6">
      <c r="A6" s="5" t="inlineStr">
        <is>
          <t>2023年8月</t>
        </is>
      </c>
      <c r="B6" s="6" t="n">
        <v>55.1</v>
      </c>
      <c r="C6" s="6" t="n">
        <v>11.8</v>
      </c>
      <c r="D6" s="6" t="n">
        <v>11</v>
      </c>
      <c r="E6" s="6" t="n">
        <v>24.8</v>
      </c>
      <c r="F6" s="6" t="n">
        <v>73.59999999999999</v>
      </c>
      <c r="G6" s="6" t="n">
        <v>2.5</v>
      </c>
      <c r="H6" s="7" t="n"/>
      <c r="I6" s="7" t="n"/>
      <c r="J6" s="7" t="n"/>
      <c r="K6" s="6" t="n">
        <v>69</v>
      </c>
      <c r="L6" s="6" t="n">
        <v>31</v>
      </c>
      <c r="M6" s="7" t="n"/>
    </row>
    <row r="7">
      <c r="A7" s="5" t="inlineStr">
        <is>
          <t>2023年9月</t>
        </is>
      </c>
      <c r="B7" s="6" t="n">
        <v>56.3</v>
      </c>
      <c r="C7" s="6" t="n">
        <v>11.2</v>
      </c>
      <c r="D7" s="6" t="n">
        <v>2.7</v>
      </c>
      <c r="E7" s="6" t="n">
        <v>26.6</v>
      </c>
      <c r="F7" s="6" t="n">
        <v>58.7</v>
      </c>
      <c r="G7" s="6" t="n">
        <v>7.3</v>
      </c>
      <c r="H7" s="7" t="n"/>
      <c r="I7" s="7" t="n"/>
      <c r="J7" s="7" t="n"/>
      <c r="K7" s="6" t="n">
        <v>68</v>
      </c>
      <c r="L7" s="6" t="n">
        <v>32</v>
      </c>
      <c r="M7" s="7" t="n"/>
    </row>
    <row r="8">
      <c r="A8" s="5" t="inlineStr">
        <is>
          <t>2023年10月</t>
        </is>
      </c>
      <c r="B8" s="6" t="n">
        <v>58.5</v>
      </c>
      <c r="C8" s="6" t="n">
        <v>14.4</v>
      </c>
      <c r="D8" s="6" t="n">
        <v>3.7</v>
      </c>
      <c r="E8" s="6" t="n">
        <v>29.8</v>
      </c>
      <c r="F8" s="6" t="n">
        <v>78.2</v>
      </c>
      <c r="G8" s="6" t="n">
        <v>9.9</v>
      </c>
      <c r="H8" s="7" t="n"/>
      <c r="I8" s="7" t="n"/>
      <c r="J8" s="7" t="n"/>
      <c r="K8" s="6" t="n">
        <v>66</v>
      </c>
      <c r="L8" s="6" t="n">
        <v>34</v>
      </c>
      <c r="M8" s="7" t="n"/>
    </row>
    <row r="9">
      <c r="A9" s="5" t="inlineStr">
        <is>
          <t>2023年11月</t>
        </is>
      </c>
      <c r="B9" s="6" t="n">
        <v>65.3</v>
      </c>
      <c r="C9" s="6" t="n">
        <v>15.2</v>
      </c>
      <c r="D9" s="6" t="n">
        <v>10.4</v>
      </c>
      <c r="E9" s="6" t="n">
        <v>21.9</v>
      </c>
      <c r="F9" s="6" t="n">
        <v>58</v>
      </c>
      <c r="G9" s="6" t="n">
        <v>2</v>
      </c>
      <c r="H9" s="6" t="n">
        <v>9</v>
      </c>
      <c r="I9" s="6" t="n">
        <v>233</v>
      </c>
      <c r="J9" s="6" t="n">
        <v>8</v>
      </c>
      <c r="K9" s="6" t="n">
        <v>68</v>
      </c>
      <c r="L9" s="6" t="n">
        <v>22</v>
      </c>
      <c r="M9" s="6" t="n">
        <v>10</v>
      </c>
    </row>
    <row r="10">
      <c r="A10" s="5" t="inlineStr">
        <is>
          <t>2023年12月</t>
        </is>
      </c>
      <c r="B10" s="6" t="n">
        <v>75.09999999999999</v>
      </c>
      <c r="C10" s="6" t="n">
        <v>32.9</v>
      </c>
      <c r="D10" s="6" t="n">
        <v>15.3</v>
      </c>
      <c r="E10" s="6" t="n">
        <v>24.4</v>
      </c>
      <c r="F10" s="6" t="n">
        <v>67</v>
      </c>
      <c r="G10" s="7" t="n"/>
      <c r="H10" s="6" t="n">
        <v>11.3</v>
      </c>
      <c r="I10" s="6" t="n">
        <v>183</v>
      </c>
      <c r="J10" s="7" t="n"/>
      <c r="K10" s="6" t="n">
        <v>68</v>
      </c>
      <c r="L10" s="6" t="n">
        <v>22</v>
      </c>
      <c r="M10" s="6" t="n">
        <v>10</v>
      </c>
    </row>
    <row r="11">
      <c r="A11" s="5" t="inlineStr">
        <is>
          <t>2024年1月</t>
        </is>
      </c>
      <c r="B11" s="6" t="n">
        <v>40.4</v>
      </c>
      <c r="C11" s="6" t="n">
        <v>49.5</v>
      </c>
      <c r="D11" s="6" t="n">
        <v>-46.5</v>
      </c>
      <c r="E11" s="6" t="n">
        <v>18.8</v>
      </c>
      <c r="F11" s="6" t="n">
        <v>104</v>
      </c>
      <c r="G11" s="6" t="n">
        <v>-23</v>
      </c>
      <c r="H11" s="6" t="n">
        <v>9.1</v>
      </c>
      <c r="I11" s="6" t="n">
        <v>262</v>
      </c>
      <c r="J11" s="6" t="n">
        <v>-22</v>
      </c>
      <c r="K11" s="6" t="n">
        <v>59</v>
      </c>
      <c r="L11" s="6" t="n">
        <v>28</v>
      </c>
      <c r="M11" s="6" t="n">
        <v>13</v>
      </c>
    </row>
    <row r="12">
      <c r="A12" s="5" t="inlineStr">
        <is>
          <t>2024年2月</t>
        </is>
      </c>
      <c r="B12" s="6" t="n">
        <v>26.9</v>
      </c>
      <c r="C12" s="6" t="n">
        <v>-22.8</v>
      </c>
      <c r="D12" s="6" t="n">
        <v>-34.3</v>
      </c>
      <c r="E12" s="6" t="n">
        <v>11.7</v>
      </c>
      <c r="F12" s="6" t="n">
        <v>-4</v>
      </c>
      <c r="G12" s="6" t="n">
        <v>-37</v>
      </c>
      <c r="H12" s="6" t="n">
        <v>6.1</v>
      </c>
      <c r="I12" s="6" t="n">
        <v>147</v>
      </c>
      <c r="J12" s="6" t="n">
        <v>-33</v>
      </c>
      <c r="K12" s="6" t="n">
        <v>60</v>
      </c>
      <c r="L12" s="6" t="n">
        <v>26</v>
      </c>
      <c r="M12" s="6" t="n">
        <v>14</v>
      </c>
    </row>
    <row r="13">
      <c r="A13" s="5" t="inlineStr">
        <is>
          <t>2024年3月</t>
        </is>
      </c>
      <c r="B13" s="6" t="n">
        <v>50.4</v>
      </c>
      <c r="C13" s="6" t="n">
        <v>10.6</v>
      </c>
      <c r="D13" s="6" t="n">
        <v>89</v>
      </c>
      <c r="E13" s="6" t="n">
        <v>22.9</v>
      </c>
      <c r="F13" s="6" t="n">
        <v>84</v>
      </c>
      <c r="G13" s="6" t="n">
        <v>92</v>
      </c>
      <c r="H13" s="6" t="n">
        <v>7.6</v>
      </c>
      <c r="I13" s="6" t="n">
        <v>103</v>
      </c>
      <c r="J13" s="6" t="n">
        <v>26</v>
      </c>
      <c r="K13" s="6" t="n">
        <v>62</v>
      </c>
      <c r="L13" s="6" t="n">
        <v>28</v>
      </c>
      <c r="M13" s="6" t="n">
        <v>10</v>
      </c>
    </row>
    <row r="14">
      <c r="A14" s="5" t="inlineStr">
        <is>
          <t>2024年4月</t>
        </is>
      </c>
      <c r="B14" s="6" t="n">
        <v>46.2</v>
      </c>
      <c r="C14" s="6" t="n">
        <v>5.7</v>
      </c>
      <c r="D14" s="6" t="n">
        <v>-8.800000000000001</v>
      </c>
      <c r="E14" s="6" t="n">
        <v>25.5</v>
      </c>
      <c r="F14" s="6" t="n">
        <v>103</v>
      </c>
      <c r="G14" s="6" t="n">
        <v>10</v>
      </c>
      <c r="H14" s="6" t="n">
        <v>6.9</v>
      </c>
      <c r="I14" s="6" t="n">
        <v>64</v>
      </c>
      <c r="J14" s="6" t="n">
        <v>-10</v>
      </c>
      <c r="K14" s="6" t="n">
        <v>59</v>
      </c>
      <c r="L14" s="6" t="n">
        <v>32</v>
      </c>
      <c r="M14" s="6" t="n">
        <v>9</v>
      </c>
    </row>
    <row r="15">
      <c r="A15" s="5" t="inlineStr">
        <is>
          <t>2024年5月</t>
        </is>
      </c>
      <c r="B15" s="6" t="n">
        <v>53.1</v>
      </c>
      <c r="C15" s="6" t="n">
        <v>9.4</v>
      </c>
      <c r="D15" s="6" t="n">
        <v>14.8</v>
      </c>
      <c r="E15" s="6" t="n">
        <v>27.6</v>
      </c>
      <c r="F15" s="6" t="n">
        <v>84</v>
      </c>
      <c r="G15" s="6" t="n">
        <v>8</v>
      </c>
      <c r="H15" s="6" t="n">
        <v>9.1</v>
      </c>
      <c r="I15" s="6" t="n">
        <v>105</v>
      </c>
      <c r="J15" s="6" t="n">
        <v>27</v>
      </c>
      <c r="K15" s="6" t="n">
        <v>59</v>
      </c>
      <c r="L15" s="6" t="n">
        <v>31</v>
      </c>
      <c r="M15" s="6" t="n">
        <v>10</v>
      </c>
    </row>
    <row r="16">
      <c r="A16" s="5" t="inlineStr">
        <is>
          <t>2024年6月</t>
        </is>
      </c>
      <c r="B16" s="6" t="n">
        <v>55.9</v>
      </c>
      <c r="C16" s="6" t="n">
        <v>5.6</v>
      </c>
      <c r="D16" s="6" t="n">
        <v>5.3</v>
      </c>
      <c r="E16" s="6" t="n">
        <v>30.8</v>
      </c>
      <c r="F16" s="6" t="n">
        <v>73</v>
      </c>
      <c r="G16" s="6" t="n">
        <v>12</v>
      </c>
      <c r="H16" s="6" t="n">
        <v>11.6</v>
      </c>
      <c r="I16" s="6" t="n">
        <v>113</v>
      </c>
      <c r="J16" s="6" t="n">
        <v>28</v>
      </c>
      <c r="K16" s="6" t="n">
        <v>57</v>
      </c>
      <c r="L16" s="6" t="n">
        <v>31</v>
      </c>
      <c r="M16" s="6" t="n">
        <v>12</v>
      </c>
    </row>
    <row r="17">
      <c r="A17" s="5" t="inlineStr">
        <is>
          <t>2024年7月</t>
        </is>
      </c>
      <c r="B17" s="6" t="n">
        <v>50.5</v>
      </c>
      <c r="C17" s="6" t="n">
        <v>0.9</v>
      </c>
      <c r="D17" s="6" t="n">
        <v>-9</v>
      </c>
      <c r="E17" s="6" t="n">
        <v>31.8</v>
      </c>
      <c r="F17" s="6" t="n">
        <v>73</v>
      </c>
      <c r="G17" s="6" t="n">
        <v>3</v>
      </c>
      <c r="H17" s="6" t="n">
        <v>12.2</v>
      </c>
      <c r="I17" s="6" t="n">
        <v>115</v>
      </c>
      <c r="J17" s="6" t="n">
        <v>5</v>
      </c>
      <c r="K17" s="6" t="n">
        <v>53</v>
      </c>
      <c r="L17" s="6" t="n">
        <v>34</v>
      </c>
      <c r="M17" s="6" t="n">
        <v>13</v>
      </c>
    </row>
    <row r="18">
      <c r="A18" s="5" t="inlineStr">
        <is>
          <t>2024年8月</t>
        </is>
      </c>
      <c r="B18" s="6" t="n">
        <v>59.2</v>
      </c>
      <c r="C18" s="6" t="n">
        <v>6.6</v>
      </c>
      <c r="D18" s="6" t="n">
        <v>17.3</v>
      </c>
      <c r="E18" s="6" t="n">
        <v>34.5</v>
      </c>
      <c r="F18" s="6" t="n">
        <v>84</v>
      </c>
      <c r="G18" s="6" t="n">
        <v>9</v>
      </c>
      <c r="H18" s="6" t="n">
        <v>11.5</v>
      </c>
      <c r="I18" s="6" t="n">
        <v>109</v>
      </c>
      <c r="J18" s="6" t="n">
        <v>-6</v>
      </c>
      <c r="K18" s="6" t="n">
        <v>56</v>
      </c>
      <c r="L18" s="6" t="n">
        <v>33</v>
      </c>
      <c r="M18" s="6" t="n">
        <v>11</v>
      </c>
    </row>
    <row r="19">
      <c r="A19" s="5" t="inlineStr">
        <is>
          <t>2024年9月</t>
        </is>
      </c>
      <c r="B19" s="6" t="n">
        <v>72.3</v>
      </c>
      <c r="C19" s="6" t="n">
        <v>27.1</v>
      </c>
      <c r="D19" s="6" t="n">
        <v>22.5</v>
      </c>
      <c r="E19" s="6" t="n">
        <v>39.4</v>
      </c>
      <c r="F19" s="6" t="n">
        <v>102.2</v>
      </c>
      <c r="G19" s="6" t="n">
        <v>12.3</v>
      </c>
      <c r="H19" s="6" t="n">
        <v>11.4</v>
      </c>
      <c r="I19" s="6" t="n">
        <v>68.40000000000001</v>
      </c>
      <c r="J19" s="6" t="n">
        <v>4.5</v>
      </c>
      <c r="K19" s="6" t="n">
        <v>59</v>
      </c>
      <c r="L19" s="6" t="n">
        <v>32</v>
      </c>
      <c r="M19" s="6" t="n">
        <v>9</v>
      </c>
    </row>
    <row r="20">
      <c r="A20" s="5" t="inlineStr">
        <is>
          <t>2024年10月</t>
        </is>
      </c>
      <c r="B20" s="6" t="n">
        <v>77.59999999999999</v>
      </c>
      <c r="C20" s="6" t="n">
        <v>32.7</v>
      </c>
      <c r="D20" s="6" t="n">
        <v>7.7</v>
      </c>
      <c r="E20" s="6" t="n">
        <v>47.2</v>
      </c>
      <c r="F20" s="6" t="n">
        <v>116</v>
      </c>
      <c r="G20" s="6" t="n">
        <v>19.5</v>
      </c>
      <c r="H20" s="6" t="n">
        <v>12.1</v>
      </c>
      <c r="I20" s="6" t="n">
        <v>53.9</v>
      </c>
      <c r="J20" s="6" t="n">
        <v>4.9</v>
      </c>
      <c r="K20" s="6" t="n">
        <v>57</v>
      </c>
      <c r="L20" s="6" t="n">
        <v>34</v>
      </c>
      <c r="M20" s="6" t="n">
        <v>9</v>
      </c>
    </row>
    <row r="21">
      <c r="A21" s="5" t="inlineStr">
        <is>
          <t>2024年11月</t>
        </is>
      </c>
      <c r="B21" s="6" t="n">
        <v>83.2</v>
      </c>
      <c r="C21" s="6" t="n">
        <v>27.7</v>
      </c>
      <c r="D21" s="6" t="n">
        <v>7.1</v>
      </c>
      <c r="E21" s="6" t="n">
        <v>47.5</v>
      </c>
      <c r="F21" s="6" t="n">
        <v>112.5</v>
      </c>
      <c r="G21" s="6" t="n">
        <v>0.7</v>
      </c>
      <c r="H21" s="6" t="n">
        <v>13</v>
      </c>
      <c r="I21" s="6" t="n">
        <v>52.3</v>
      </c>
      <c r="J21" s="6" t="n">
        <v>7.8</v>
      </c>
      <c r="K21" s="6" t="n">
        <v>58</v>
      </c>
      <c r="L21" s="6" t="n">
        <v>33</v>
      </c>
      <c r="M21" s="6" t="n">
        <v>9</v>
      </c>
    </row>
    <row r="22">
      <c r="A22" s="5" t="inlineStr">
        <is>
          <t>2024年12月</t>
        </is>
      </c>
      <c r="B22" s="6" t="n">
        <v>88.7</v>
      </c>
      <c r="C22" s="6" t="n">
        <v>17.5</v>
      </c>
      <c r="D22" s="6" t="n">
        <v>6.7</v>
      </c>
      <c r="E22" s="6" t="n">
        <v>49.9</v>
      </c>
      <c r="F22" s="6" t="n">
        <v>97.7</v>
      </c>
      <c r="G22" s="6" t="n">
        <v>4.5</v>
      </c>
      <c r="H22" s="6" t="n">
        <v>12.6</v>
      </c>
      <c r="I22" s="6" t="n">
        <v>17.2</v>
      </c>
      <c r="J22" s="6" t="n">
        <v>-3.5</v>
      </c>
      <c r="K22" s="6" t="n">
        <v>59</v>
      </c>
      <c r="L22" s="6" t="n">
        <v>33</v>
      </c>
      <c r="M22" s="6" t="n">
        <v>8</v>
      </c>
    </row>
    <row r="23">
      <c r="A23" s="5" t="inlineStr">
        <is>
          <t>2025年1月</t>
        </is>
      </c>
      <c r="B23" s="6" t="n">
        <v>51.8</v>
      </c>
      <c r="C23" s="6" t="n">
        <v>23.3</v>
      </c>
      <c r="D23" s="6" t="n">
        <v>-41.6</v>
      </c>
      <c r="E23" s="6" t="n">
        <v>29.8</v>
      </c>
      <c r="F23" s="6" t="n">
        <v>51.3</v>
      </c>
      <c r="G23" s="6" t="n">
        <v>-40.3</v>
      </c>
      <c r="H23" s="6" t="n">
        <v>7.3</v>
      </c>
      <c r="I23" s="6" t="n">
        <v>-11.3</v>
      </c>
      <c r="J23" s="6" t="n">
        <v>-41.7</v>
      </c>
      <c r="K23" s="6" t="n">
        <v>58</v>
      </c>
      <c r="L23" s="6" t="n">
        <v>34</v>
      </c>
      <c r="M23" s="6" t="n">
        <v>8</v>
      </c>
    </row>
    <row r="24">
      <c r="A24" s="5" t="inlineStr">
        <is>
          <t>2025年2月</t>
        </is>
      </c>
      <c r="B24" s="6" t="n">
        <v>47.8</v>
      </c>
      <c r="C24" s="6" t="n">
        <v>69.59999999999999</v>
      </c>
      <c r="D24" s="6" t="n">
        <v>-7.7</v>
      </c>
      <c r="E24" s="6" t="n">
        <v>28.8</v>
      </c>
      <c r="F24" s="6" t="n">
        <v>137.7</v>
      </c>
      <c r="G24" s="6" t="n">
        <v>-3.1</v>
      </c>
      <c r="H24" s="6" t="n">
        <v>6.3</v>
      </c>
      <c r="I24" s="6" t="n">
        <v>7.4</v>
      </c>
      <c r="J24" s="6" t="n">
        <v>-14</v>
      </c>
      <c r="K24" s="6" t="n">
        <v>57.6</v>
      </c>
      <c r="L24" s="6" t="n">
        <v>34.8</v>
      </c>
      <c r="M24" s="6" t="n">
        <v>7.6</v>
      </c>
    </row>
    <row r="25">
      <c r="A25" s="5" t="inlineStr">
        <is>
          <t>2025年3月</t>
        </is>
      </c>
      <c r="B25" s="6" t="n">
        <v>70.8</v>
      </c>
      <c r="C25" s="6" t="n">
        <v>35.2</v>
      </c>
      <c r="D25" s="6" t="n">
        <v>48.1</v>
      </c>
      <c r="E25" s="6" t="n">
        <v>33.4</v>
      </c>
      <c r="F25" s="6" t="n">
        <v>38.9</v>
      </c>
      <c r="G25" s="6" t="n">
        <v>17.5</v>
      </c>
      <c r="H25" s="6" t="n">
        <v>8.6</v>
      </c>
      <c r="I25" s="6" t="n">
        <v>26</v>
      </c>
      <c r="J25" s="6" t="n">
        <v>27.3</v>
      </c>
      <c r="K25" s="6" t="n">
        <v>62.8</v>
      </c>
      <c r="L25" s="6" t="n">
        <v>29.6</v>
      </c>
      <c r="M25" s="6" t="n">
        <v>7.6</v>
      </c>
    </row>
    <row r="26">
      <c r="A26" s="5" t="inlineStr">
        <is>
          <t>2025年4月</t>
        </is>
      </c>
      <c r="B26" s="6" t="n">
        <v>71.90000000000001</v>
      </c>
      <c r="C26" s="6" t="n">
        <v>49.2</v>
      </c>
      <c r="D26" s="6" t="n">
        <v>1.5</v>
      </c>
      <c r="E26" s="6" t="n">
        <v>32.2</v>
      </c>
      <c r="F26" s="6" t="n">
        <v>21.7</v>
      </c>
      <c r="G26" s="6" t="n">
        <v>-3.2</v>
      </c>
      <c r="H26" s="6" t="n">
        <v>9.199999999999999</v>
      </c>
      <c r="I26" s="6" t="n">
        <v>49.3</v>
      </c>
      <c r="J26" s="6" t="n">
        <v>3.8</v>
      </c>
      <c r="K26" s="6" t="n">
        <v>63.5</v>
      </c>
      <c r="L26" s="6" t="n">
        <v>28.4</v>
      </c>
      <c r="M26" s="6" t="n">
        <v>8.1</v>
      </c>
    </row>
    <row r="27">
      <c r="A27" s="5" t="inlineStr">
        <is>
          <t>2025年5月</t>
        </is>
      </c>
      <c r="B27" s="6" t="n">
        <v>75.40000000000001</v>
      </c>
      <c r="C27" s="6" t="n">
        <v>37.7</v>
      </c>
      <c r="D27" s="6" t="n">
        <v>4.4</v>
      </c>
      <c r="E27" s="6" t="n">
        <v>34.1</v>
      </c>
      <c r="F27" s="6" t="n">
        <v>20.1</v>
      </c>
      <c r="G27" s="6" t="n">
        <v>6.5</v>
      </c>
      <c r="H27" s="6" t="n">
        <v>12.2</v>
      </c>
      <c r="I27" s="6" t="n">
        <v>46.7</v>
      </c>
      <c r="J27" s="6" t="n">
        <v>29.4</v>
      </c>
      <c r="K27" s="6" t="n">
        <v>62.5</v>
      </c>
      <c r="L27" s="6" t="n">
        <v>27.7</v>
      </c>
      <c r="M27" s="6" t="n">
        <v>9.800000000000001</v>
      </c>
    </row>
    <row r="28">
      <c r="A28" s="5" t="inlineStr">
        <is>
          <t>2025年6月</t>
        </is>
      </c>
      <c r="B28" s="6" t="n">
        <v>77.09999999999999</v>
      </c>
      <c r="C28" s="6" t="n">
        <v>39.2</v>
      </c>
      <c r="D28" s="6" t="n">
        <v>1.5</v>
      </c>
      <c r="E28" s="6" t="n">
        <v>34.8</v>
      </c>
      <c r="F28" s="6" t="n">
        <v>10.1</v>
      </c>
      <c r="G28" s="6" t="n">
        <v>2.2</v>
      </c>
      <c r="H28" s="6" t="n">
        <v>12.2</v>
      </c>
      <c r="I28" s="6" t="n">
        <v>13.6</v>
      </c>
      <c r="J28" s="6" t="n">
        <v>0.3</v>
      </c>
      <c r="K28" s="6" t="n">
        <v>62.1</v>
      </c>
      <c r="L28" s="6" t="n">
        <v>28</v>
      </c>
      <c r="M28" s="6" t="n">
        <v>9.800000000000001</v>
      </c>
    </row>
    <row r="29">
      <c r="A29" s="5" t="inlineStr">
        <is>
          <t>2025年7月</t>
        </is>
      </c>
      <c r="B29" s="6" t="n">
        <v>73.59999999999999</v>
      </c>
      <c r="C29" s="6" t="n">
        <v>44.8</v>
      </c>
      <c r="D29" s="6" t="n">
        <v>-4.5</v>
      </c>
      <c r="E29" s="6" t="n">
        <v>33.6</v>
      </c>
      <c r="F29" s="6" t="n">
        <v>3.3</v>
      </c>
      <c r="G29" s="6" t="n">
        <v>-2.3</v>
      </c>
      <c r="H29" s="6" t="n">
        <v>10.9</v>
      </c>
      <c r="I29" s="6" t="n">
        <v>-6.2</v>
      </c>
      <c r="J29" s="6" t="n">
        <v>-13.7</v>
      </c>
      <c r="K29" s="6" t="n">
        <v>62.3</v>
      </c>
      <c r="L29" s="6" t="n">
        <v>28.4</v>
      </c>
      <c r="M29" s="6" t="n">
        <v>9.199999999999999</v>
      </c>
    </row>
    <row r="30">
      <c r="A30" s="5" t="inlineStr">
        <is>
          <t>2025年8月</t>
        </is>
      </c>
      <c r="B30" s="6" t="n">
        <v>81.5</v>
      </c>
      <c r="C30" s="6" t="n">
        <v>38.5</v>
      </c>
      <c r="D30" s="6" t="n">
        <v>9.800000000000001</v>
      </c>
      <c r="E30" s="6" t="n">
        <v>36.8</v>
      </c>
      <c r="F30" s="6" t="n">
        <v>5</v>
      </c>
      <c r="G30" s="6" t="n">
        <v>8.9</v>
      </c>
      <c r="H30" s="6" t="n">
        <v>9.9</v>
      </c>
      <c r="I30" s="6" t="n">
        <v>-9.5</v>
      </c>
      <c r="J30" s="6" t="n">
        <v>-9.199999999999999</v>
      </c>
      <c r="K30" s="6" t="n">
        <v>63.6</v>
      </c>
      <c r="L30" s="6" t="n">
        <v>28.7</v>
      </c>
      <c r="M30" s="6" t="n">
        <v>7.7</v>
      </c>
    </row>
    <row r="31">
      <c r="A31" s="5" t="inlineStr">
        <is>
          <t>2025年9月</t>
        </is>
      </c>
      <c r="B31" s="6" t="n">
        <v>94.7</v>
      </c>
      <c r="C31" s="6" t="n">
        <v>32.4</v>
      </c>
      <c r="D31" s="6" t="n">
        <v>16.2</v>
      </c>
      <c r="E31" s="6" t="n">
        <v>42.4</v>
      </c>
      <c r="F31" s="6" t="n">
        <v>8.4</v>
      </c>
      <c r="G31" s="6" t="n">
        <v>13.1</v>
      </c>
      <c r="H31" s="6" t="n">
        <v>12.9</v>
      </c>
      <c r="I31" s="6" t="n">
        <v>8.699999999999999</v>
      </c>
      <c r="J31" s="6" t="n">
        <v>24.1</v>
      </c>
      <c r="K31" s="6" t="n">
        <v>63</v>
      </c>
      <c r="L31" s="6" t="n">
        <v>28</v>
      </c>
      <c r="M31" s="6" t="n">
        <v>9</v>
      </c>
    </row>
    <row r="32">
      <c r="A32" s="5" t="inlineStr">
        <is>
          <t>2025年10月</t>
        </is>
      </c>
      <c r="B32" s="6" t="n">
        <v>102</v>
      </c>
      <c r="C32" s="6" t="n">
        <v>31.6</v>
      </c>
      <c r="D32" s="6" t="n">
        <v>7.5</v>
      </c>
      <c r="E32" s="6" t="n">
        <v>48</v>
      </c>
      <c r="F32" s="6" t="n">
        <v>2</v>
      </c>
      <c r="G32" s="6" t="n">
        <v>13</v>
      </c>
      <c r="H32" s="6" t="n">
        <v>12.1</v>
      </c>
      <c r="I32" s="6" t="n">
        <v>-1.9</v>
      </c>
      <c r="J32" s="6" t="n">
        <v>0</v>
      </c>
      <c r="K32" s="6" t="n">
        <v>62.9</v>
      </c>
      <c r="L32" s="6" t="n">
        <v>29.6</v>
      </c>
      <c r="M32" s="6" t="n">
        <v>7.5</v>
      </c>
    </row>
    <row r="33">
      <c r="A33" s="5" t="inlineStr">
        <is>
          <t>2025年11月</t>
        </is>
      </c>
      <c r="B33" s="6" t="n">
        <v>103.8</v>
      </c>
      <c r="C33" s="6" t="n">
        <v>25</v>
      </c>
      <c r="D33" s="6" t="n">
        <v>3.1</v>
      </c>
      <c r="E33" s="6" t="n">
        <v>53.2</v>
      </c>
      <c r="F33" s="6" t="n">
        <v>12.2</v>
      </c>
      <c r="G33" s="6" t="n">
        <v>10.9</v>
      </c>
      <c r="H33" s="6" t="n">
        <v>13.7</v>
      </c>
      <c r="I33" s="6" t="n">
        <v>3</v>
      </c>
      <c r="J33" s="6" t="n">
        <v>8.699999999999999</v>
      </c>
      <c r="K33" s="6" t="n">
        <v>60.8</v>
      </c>
      <c r="L33" s="6" t="n">
        <v>31.2</v>
      </c>
      <c r="M33" s="6" t="n">
        <v>8</v>
      </c>
    </row>
    <row r="34">
      <c r="A34" s="5" t="inlineStr">
        <is>
          <t>2025年12月</t>
        </is>
      </c>
      <c r="B34" s="6" t="n">
        <v>94</v>
      </c>
      <c r="C34" s="6" t="n">
        <v>5.8</v>
      </c>
      <c r="D34" s="6" t="n">
        <v>-9.4</v>
      </c>
      <c r="E34" s="6" t="n">
        <v>47.6</v>
      </c>
      <c r="F34" s="6" t="n">
        <v>-3.8</v>
      </c>
      <c r="G34" s="6" t="n">
        <v>-9.199999999999999</v>
      </c>
      <c r="H34" s="6" t="n">
        <v>14.7</v>
      </c>
      <c r="I34" s="6" t="n">
        <v>13.4</v>
      </c>
      <c r="J34" s="6" t="n">
        <v>1.6</v>
      </c>
      <c r="K34" s="6" t="n">
        <v>60.2</v>
      </c>
      <c r="L34" s="6" t="n">
        <v>30.4</v>
      </c>
      <c r="M34" s="6" t="n">
        <v>9.4</v>
      </c>
    </row>
    <row r="35">
      <c r="A35" s="5" t="inlineStr">
        <is>
          <t>2026年1月</t>
        </is>
      </c>
      <c r="B35" s="6" t="n">
        <v>50.7</v>
      </c>
      <c r="C35" s="6" t="n">
        <v>-3</v>
      </c>
      <c r="D35" s="7" t="n"/>
      <c r="E35" s="6" t="n">
        <v>27.8</v>
      </c>
      <c r="F35" s="6" t="n">
        <v>-6.3</v>
      </c>
      <c r="G35" s="7" t="n"/>
      <c r="H35" s="6" t="n">
        <v>7.9</v>
      </c>
      <c r="I35" s="6" t="n">
        <v>6.7</v>
      </c>
      <c r="J35" s="7" t="n"/>
      <c r="K35" s="6" t="n">
        <v>58.3</v>
      </c>
      <c r="L35" s="6" t="n">
        <v>32.6</v>
      </c>
      <c r="M35" s="6" t="n">
        <v>9.1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2" t="inlineStr">
        <is>
          <t>月份</t>
        </is>
      </c>
      <c r="B1" s="12" t="inlineStr">
        <is>
          <t>自主品牌</t>
        </is>
      </c>
      <c r="C1" s="2" t="n"/>
      <c r="D1" s="3" t="n"/>
      <c r="E1" s="12" t="inlineStr">
        <is>
          <t>主流合資</t>
        </is>
      </c>
      <c r="F1" s="3" t="n"/>
      <c r="G1" s="12" t="inlineStr">
        <is>
          <t>独系</t>
        </is>
      </c>
      <c r="H1" s="12" t="inlineStr">
        <is>
          <t>日系</t>
        </is>
      </c>
      <c r="I1" s="12" t="inlineStr">
        <is>
          <t>米系</t>
        </is>
      </c>
      <c r="J1" s="12" t="inlineStr">
        <is>
          <t>豪華車</t>
        </is>
      </c>
      <c r="K1" s="2" t="n"/>
      <c r="L1" s="3" t="n"/>
    </row>
    <row r="2">
      <c r="A2" s="13" t="inlineStr"/>
      <c r="B2" s="13" t="inlineStr">
        <is>
          <t>零售万辆</t>
        </is>
      </c>
      <c r="C2" s="13" t="inlineStr">
        <is>
          <t>同比%</t>
        </is>
      </c>
      <c r="D2" s="13" t="inlineStr">
        <is>
          <t>シェア%</t>
        </is>
      </c>
      <c r="E2" s="13" t="inlineStr">
        <is>
          <t>零售万辆</t>
        </is>
      </c>
      <c r="F2" s="13" t="inlineStr">
        <is>
          <t>同比%</t>
        </is>
      </c>
      <c r="G2" s="13" t="inlineStr">
        <is>
          <t>シェア%</t>
        </is>
      </c>
      <c r="H2" s="13" t="inlineStr">
        <is>
          <t>シェア%</t>
        </is>
      </c>
      <c r="I2" s="13" t="inlineStr">
        <is>
          <t>シェア%</t>
        </is>
      </c>
      <c r="J2" s="13" t="inlineStr">
        <is>
          <t>零售万辆</t>
        </is>
      </c>
      <c r="K2" s="13" t="inlineStr">
        <is>
          <t>同比%</t>
        </is>
      </c>
      <c r="L2" s="13" t="inlineStr">
        <is>
          <t>シェア%</t>
        </is>
      </c>
    </row>
    <row r="3">
      <c r="A3" s="5" t="inlineStr">
        <is>
          <t>2023年5月</t>
        </is>
      </c>
      <c r="B3" s="6" t="n">
        <v>87</v>
      </c>
      <c r="C3" s="6" t="n">
        <v>41</v>
      </c>
      <c r="D3" s="6" t="n">
        <v>50.3</v>
      </c>
      <c r="E3" s="6" t="n">
        <v>62</v>
      </c>
      <c r="F3" s="6" t="n">
        <v>12</v>
      </c>
      <c r="G3" s="6" t="n">
        <v>20.6</v>
      </c>
      <c r="H3" s="6" t="n">
        <v>18</v>
      </c>
      <c r="I3" s="6" t="n">
        <v>8.1</v>
      </c>
      <c r="J3" s="6" t="n">
        <v>25</v>
      </c>
      <c r="K3" s="6" t="n">
        <v>39</v>
      </c>
      <c r="L3" s="6" t="n">
        <v>14</v>
      </c>
    </row>
    <row r="4">
      <c r="A4" s="5" t="inlineStr">
        <is>
          <t>2023年6月</t>
        </is>
      </c>
      <c r="B4" s="6" t="n">
        <v>93</v>
      </c>
      <c r="C4" s="6" t="n">
        <v>14</v>
      </c>
      <c r="D4" s="6" t="n">
        <v>49.3</v>
      </c>
      <c r="E4" s="6" t="n">
        <v>66</v>
      </c>
      <c r="F4" s="6" t="n">
        <v>-19</v>
      </c>
      <c r="G4" s="6" t="n">
        <v>21.1</v>
      </c>
      <c r="H4" s="6" t="n">
        <v>17.8</v>
      </c>
      <c r="I4" s="6" t="n">
        <v>9.199999999999999</v>
      </c>
      <c r="J4" s="6" t="n">
        <v>30</v>
      </c>
      <c r="K4" s="6" t="n">
        <v>-3</v>
      </c>
      <c r="L4" s="6" t="n">
        <v>14.2</v>
      </c>
    </row>
    <row r="5">
      <c r="A5" s="5" t="inlineStr">
        <is>
          <t>2023年7月</t>
        </is>
      </c>
      <c r="B5" s="6" t="n">
        <v>94</v>
      </c>
      <c r="C5" s="6" t="n">
        <v>15</v>
      </c>
      <c r="D5" s="6" t="n">
        <v>53.2</v>
      </c>
      <c r="E5" s="6" t="n">
        <v>59</v>
      </c>
      <c r="F5" s="6" t="n">
        <v>-28</v>
      </c>
      <c r="G5" s="6" t="n">
        <v>20.8</v>
      </c>
      <c r="H5" s="6" t="n">
        <v>15.8</v>
      </c>
      <c r="I5" s="6" t="n">
        <v>7.7</v>
      </c>
      <c r="J5" s="6" t="n">
        <v>24</v>
      </c>
      <c r="K5" s="6" t="n">
        <v>-22</v>
      </c>
      <c r="L5" s="7" t="n"/>
    </row>
    <row r="6">
      <c r="A6" s="5" t="inlineStr">
        <is>
          <t>2023年8月</t>
        </is>
      </c>
      <c r="B6" s="6" t="n">
        <v>100</v>
      </c>
      <c r="C6" s="6" t="n">
        <v>17</v>
      </c>
      <c r="D6" s="6" t="n">
        <v>52.1</v>
      </c>
      <c r="E6" s="6" t="n">
        <v>65</v>
      </c>
      <c r="F6" s="6" t="n">
        <v>-16</v>
      </c>
      <c r="G6" s="6" t="n">
        <v>20.1</v>
      </c>
      <c r="H6" s="6" t="n">
        <v>16.7</v>
      </c>
      <c r="I6" s="6" t="n">
        <v>8.5</v>
      </c>
      <c r="J6" s="6" t="n">
        <v>28</v>
      </c>
      <c r="K6" s="6" t="n">
        <v>9</v>
      </c>
      <c r="L6" s="7" t="n"/>
    </row>
    <row r="7">
      <c r="A7" s="5" t="inlineStr">
        <is>
          <t>2023年9月</t>
        </is>
      </c>
      <c r="B7" s="6" t="n">
        <v>107</v>
      </c>
      <c r="C7" s="6" t="n">
        <v>20</v>
      </c>
      <c r="D7" s="6" t="n">
        <v>53.4</v>
      </c>
      <c r="E7" s="6" t="n">
        <v>67</v>
      </c>
      <c r="F7" s="6" t="n">
        <v>-12</v>
      </c>
      <c r="G7" s="6" t="n">
        <v>20.2</v>
      </c>
      <c r="H7" s="6" t="n">
        <v>16.6</v>
      </c>
      <c r="I7" s="6" t="n">
        <v>7.3</v>
      </c>
      <c r="J7" s="6" t="n">
        <v>27</v>
      </c>
      <c r="K7" s="6" t="n">
        <v>-7</v>
      </c>
      <c r="L7" s="6" t="n">
        <v>11.7</v>
      </c>
    </row>
    <row r="8">
      <c r="A8" s="5" t="inlineStr">
        <is>
          <t>2023年10月</t>
        </is>
      </c>
      <c r="B8" s="6" t="n">
        <v>113</v>
      </c>
      <c r="C8" s="6" t="n">
        <v>20</v>
      </c>
      <c r="D8" s="6" t="n">
        <v>55.6</v>
      </c>
      <c r="E8" s="6" t="n">
        <v>68</v>
      </c>
      <c r="F8" s="6" t="n">
        <v>-2</v>
      </c>
      <c r="G8" s="6" t="n">
        <v>18.1</v>
      </c>
      <c r="H8" s="6" t="n">
        <v>17.7</v>
      </c>
      <c r="I8" s="6" t="n">
        <v>6.1</v>
      </c>
      <c r="J8" s="6" t="n">
        <v>22</v>
      </c>
      <c r="K8" s="6" t="n">
        <v>8</v>
      </c>
      <c r="L8" s="7" t="n"/>
    </row>
    <row r="9">
      <c r="A9" s="5" t="inlineStr">
        <is>
          <t>2023年11月</t>
        </is>
      </c>
      <c r="B9" s="6" t="n">
        <v>115</v>
      </c>
      <c r="C9" s="6" t="n">
        <v>31</v>
      </c>
      <c r="D9" s="6" t="n">
        <v>55.3</v>
      </c>
      <c r="E9" s="6" t="n">
        <v>66</v>
      </c>
      <c r="F9" s="6" t="n">
        <v>23</v>
      </c>
      <c r="G9" s="6" t="n">
        <v>18.7</v>
      </c>
      <c r="H9" s="6" t="n">
        <v>15.5</v>
      </c>
      <c r="I9" s="6" t="n">
        <v>7.9</v>
      </c>
      <c r="J9" s="6" t="n">
        <v>27</v>
      </c>
      <c r="K9" s="6" t="n">
        <v>15</v>
      </c>
      <c r="L9" s="6" t="n">
        <v>10.9</v>
      </c>
    </row>
    <row r="10">
      <c r="A10" s="5" t="inlineStr">
        <is>
          <t>2023年12月</t>
        </is>
      </c>
      <c r="B10" s="6" t="n">
        <v>124</v>
      </c>
      <c r="C10" s="6" t="n">
        <v>17</v>
      </c>
      <c r="D10" s="6" t="n">
        <v>52.9</v>
      </c>
      <c r="E10" s="6" t="n">
        <v>79</v>
      </c>
      <c r="F10" s="6" t="n">
        <v>-7</v>
      </c>
      <c r="G10" s="6" t="n">
        <v>20.5</v>
      </c>
      <c r="H10" s="6" t="n">
        <v>16.5</v>
      </c>
      <c r="I10" s="6" t="n">
        <v>7.3</v>
      </c>
      <c r="J10" s="6" t="n">
        <v>32</v>
      </c>
      <c r="K10" s="6" t="n">
        <v>23</v>
      </c>
      <c r="L10" s="7" t="n"/>
    </row>
    <row r="11">
      <c r="A11" s="5" t="inlineStr">
        <is>
          <t>2024年1月</t>
        </is>
      </c>
      <c r="B11" s="6" t="n">
        <v>112</v>
      </c>
      <c r="C11" s="6" t="n">
        <v>77</v>
      </c>
      <c r="D11" s="6" t="n">
        <v>55.1</v>
      </c>
      <c r="E11" s="6" t="n">
        <v>67</v>
      </c>
      <c r="F11" s="6" t="n">
        <v>43</v>
      </c>
      <c r="G11" s="6" t="n">
        <v>19.2</v>
      </c>
      <c r="H11" s="6" t="n">
        <v>16.7</v>
      </c>
      <c r="I11" s="6" t="n">
        <v>6.5</v>
      </c>
      <c r="J11" s="6" t="n">
        <v>24</v>
      </c>
      <c r="K11" s="6" t="n">
        <v>30</v>
      </c>
      <c r="L11" s="7" t="n"/>
    </row>
    <row r="12">
      <c r="A12" s="5" t="inlineStr">
        <is>
          <t>2024年2月</t>
        </is>
      </c>
      <c r="B12" s="6" t="n">
        <v>62</v>
      </c>
      <c r="C12" s="6" t="n">
        <v>-13</v>
      </c>
      <c r="D12" s="6" t="n">
        <v>56.1</v>
      </c>
      <c r="E12" s="6" t="n">
        <v>33</v>
      </c>
      <c r="F12" s="6" t="n">
        <v>-31</v>
      </c>
      <c r="G12" s="6" t="n">
        <v>20.5</v>
      </c>
      <c r="H12" s="6" t="n">
        <v>14.4</v>
      </c>
      <c r="I12" s="6" t="n">
        <v>6.4</v>
      </c>
      <c r="J12" s="6" t="n">
        <v>16</v>
      </c>
      <c r="K12" s="6" t="n">
        <v>-21</v>
      </c>
      <c r="L12" s="7" t="n"/>
    </row>
    <row r="13">
      <c r="A13" s="5" t="inlineStr">
        <is>
          <t>2024年3月</t>
        </is>
      </c>
      <c r="B13" s="6" t="n">
        <v>93</v>
      </c>
      <c r="C13" s="6" t="n">
        <v>19</v>
      </c>
      <c r="D13" s="6" t="n">
        <v>54.8</v>
      </c>
      <c r="E13" s="6" t="n">
        <v>50</v>
      </c>
      <c r="F13" s="6" t="n">
        <v>-8</v>
      </c>
      <c r="G13" s="6" t="n">
        <v>20.4</v>
      </c>
      <c r="H13" s="6" t="n">
        <v>13.8</v>
      </c>
      <c r="I13" s="6" t="n">
        <v>8.199999999999999</v>
      </c>
      <c r="J13" s="6" t="n">
        <v>27</v>
      </c>
      <c r="K13" s="6" t="n">
        <v>-3</v>
      </c>
      <c r="L13" s="6" t="n">
        <v>15.6</v>
      </c>
    </row>
    <row r="14">
      <c r="A14" s="5" t="inlineStr">
        <is>
          <t>2024年4月</t>
        </is>
      </c>
      <c r="B14" s="6" t="n">
        <v>88</v>
      </c>
      <c r="C14" s="6" t="n">
        <v>11</v>
      </c>
      <c r="D14" s="6" t="n">
        <v>57.4</v>
      </c>
      <c r="E14" s="6" t="n">
        <v>45</v>
      </c>
      <c r="F14" s="6" t="n">
        <v>-26</v>
      </c>
      <c r="G14" s="6" t="n">
        <v>19</v>
      </c>
      <c r="H14" s="6" t="n">
        <v>15.2</v>
      </c>
      <c r="I14" s="6" t="n">
        <v>5.9</v>
      </c>
      <c r="J14" s="6" t="n">
        <v>20</v>
      </c>
      <c r="K14" s="6" t="n">
        <v>-12</v>
      </c>
      <c r="L14" s="6" t="n">
        <v>13.2</v>
      </c>
    </row>
    <row r="15">
      <c r="A15" s="5" t="inlineStr">
        <is>
          <t>2024年5月</t>
        </is>
      </c>
      <c r="B15" s="6" t="n">
        <v>98</v>
      </c>
      <c r="C15" s="6" t="n">
        <v>12</v>
      </c>
      <c r="D15" s="6" t="n">
        <v>57.6</v>
      </c>
      <c r="E15" s="6" t="n">
        <v>49</v>
      </c>
      <c r="F15" s="6" t="n">
        <v>-21</v>
      </c>
      <c r="G15" s="6" t="n">
        <v>18.6</v>
      </c>
      <c r="H15" s="6" t="n">
        <v>14.8</v>
      </c>
      <c r="I15" s="6" t="n">
        <v>6.7</v>
      </c>
      <c r="J15" s="6" t="n">
        <v>24</v>
      </c>
      <c r="K15" s="6" t="n">
        <v>-3</v>
      </c>
      <c r="L15" s="6" t="n">
        <v>14</v>
      </c>
    </row>
    <row r="16">
      <c r="A16" s="5" t="inlineStr">
        <is>
          <t>2024年6月</t>
        </is>
      </c>
      <c r="B16" s="6" t="n">
        <v>103</v>
      </c>
      <c r="C16" s="6" t="n">
        <v>10</v>
      </c>
      <c r="D16" s="6" t="n">
        <v>58.5</v>
      </c>
      <c r="E16" s="6" t="n">
        <v>48</v>
      </c>
      <c r="F16" s="6" t="n">
        <v>-27</v>
      </c>
      <c r="G16" s="6" t="n">
        <v>18.6</v>
      </c>
      <c r="H16" s="6" t="n">
        <v>14.3</v>
      </c>
      <c r="I16" s="6" t="n">
        <v>6.3</v>
      </c>
      <c r="J16" s="6" t="n">
        <v>25</v>
      </c>
      <c r="K16" s="6" t="n">
        <v>-17</v>
      </c>
      <c r="L16" s="6" t="n">
        <v>14.2</v>
      </c>
    </row>
    <row r="17">
      <c r="A17" s="5" t="inlineStr">
        <is>
          <t>2024年7月</t>
        </is>
      </c>
      <c r="B17" s="6" t="n">
        <v>106</v>
      </c>
      <c r="C17" s="6" t="n">
        <v>13</v>
      </c>
      <c r="D17" s="6" t="n">
        <v>61.8</v>
      </c>
      <c r="E17" s="6" t="n">
        <v>44</v>
      </c>
      <c r="F17" s="6" t="n">
        <v>-25</v>
      </c>
      <c r="G17" s="6" t="n">
        <v>17.6</v>
      </c>
      <c r="H17" s="6" t="n">
        <v>12.9</v>
      </c>
      <c r="I17" s="6" t="n">
        <v>5.8</v>
      </c>
      <c r="J17" s="6" t="n">
        <v>22</v>
      </c>
      <c r="K17" s="6" t="n">
        <v>-11</v>
      </c>
      <c r="L17" s="6" t="n">
        <v>12.5</v>
      </c>
    </row>
    <row r="18">
      <c r="A18" s="5" t="inlineStr">
        <is>
          <t>2024年8月</t>
        </is>
      </c>
      <c r="B18" s="6" t="n">
        <v>120</v>
      </c>
      <c r="C18" s="6" t="n">
        <v>21</v>
      </c>
      <c r="D18" s="6" t="n">
        <v>63.4</v>
      </c>
      <c r="E18" s="6" t="n">
        <v>48</v>
      </c>
      <c r="F18" s="6" t="n">
        <v>-27</v>
      </c>
      <c r="G18" s="6" t="n">
        <v>16.6</v>
      </c>
      <c r="H18" s="6" t="n">
        <v>12.6</v>
      </c>
      <c r="I18" s="6" t="n">
        <v>5.7</v>
      </c>
      <c r="J18" s="6" t="n">
        <v>22</v>
      </c>
      <c r="K18" s="6" t="n">
        <v>-21</v>
      </c>
      <c r="L18" s="6" t="n">
        <v>11.6</v>
      </c>
    </row>
    <row r="19">
      <c r="A19" s="5" t="inlineStr">
        <is>
          <t>2024年9月</t>
        </is>
      </c>
      <c r="B19" s="6" t="n">
        <v>134</v>
      </c>
      <c r="C19" s="6" t="n">
        <v>25</v>
      </c>
      <c r="D19" s="6" t="n">
        <v>63.5</v>
      </c>
      <c r="E19" s="6" t="n">
        <v>53</v>
      </c>
      <c r="F19" s="6" t="n">
        <v>-22</v>
      </c>
      <c r="G19" s="6" t="n">
        <v>16.5</v>
      </c>
      <c r="H19" s="6" t="n">
        <v>12.6</v>
      </c>
      <c r="I19" s="6" t="n">
        <v>5.7</v>
      </c>
      <c r="J19" s="6" t="n">
        <v>25</v>
      </c>
      <c r="K19" s="6" t="n">
        <v>-8</v>
      </c>
      <c r="L19" s="6" t="n">
        <v>11.7</v>
      </c>
    </row>
    <row r="20">
      <c r="A20" s="5" t="inlineStr">
        <is>
          <t>2024年10月</t>
        </is>
      </c>
      <c r="B20" s="6" t="n">
        <v>148</v>
      </c>
      <c r="C20" s="6" t="n">
        <v>32</v>
      </c>
      <c r="D20" s="6" t="n">
        <v>65.7</v>
      </c>
      <c r="E20" s="6" t="n">
        <v>57</v>
      </c>
      <c r="F20" s="6" t="n">
        <v>-17</v>
      </c>
      <c r="G20" s="6" t="n">
        <v>15.8</v>
      </c>
      <c r="H20" s="6" t="n">
        <v>12.9</v>
      </c>
      <c r="I20" s="6" t="n">
        <v>4</v>
      </c>
      <c r="J20" s="6" t="n">
        <v>21</v>
      </c>
      <c r="K20" s="6" t="n">
        <v>-7</v>
      </c>
      <c r="L20" s="6" t="n">
        <v>9.199999999999999</v>
      </c>
    </row>
    <row r="21">
      <c r="A21" s="5" t="inlineStr">
        <is>
          <t>2024年11月</t>
        </is>
      </c>
      <c r="B21" s="6" t="n">
        <v>154</v>
      </c>
      <c r="C21" s="6" t="n">
        <v>34</v>
      </c>
      <c r="D21" s="6" t="n">
        <v>64.09999999999999</v>
      </c>
      <c r="E21" s="6" t="n">
        <v>60</v>
      </c>
      <c r="F21" s="6" t="n">
        <v>-9</v>
      </c>
      <c r="G21" s="6" t="n">
        <v>15.6</v>
      </c>
      <c r="H21" s="6" t="n">
        <v>12.4</v>
      </c>
      <c r="I21" s="6" t="n">
        <v>6.4</v>
      </c>
      <c r="J21" s="6" t="n">
        <v>26</v>
      </c>
      <c r="K21" s="6" t="n">
        <v>-4</v>
      </c>
      <c r="L21" s="6" t="n">
        <v>10.9</v>
      </c>
    </row>
    <row r="22">
      <c r="A22" s="5" t="inlineStr">
        <is>
          <t>2024年12月</t>
        </is>
      </c>
      <c r="B22" s="6" t="n">
        <v>164</v>
      </c>
      <c r="C22" s="6" t="n">
        <v>12</v>
      </c>
      <c r="D22" s="6" t="n">
        <v>62.3</v>
      </c>
      <c r="E22" s="6" t="n">
        <v>71</v>
      </c>
      <c r="F22" s="6" t="n">
        <v>-11</v>
      </c>
      <c r="G22" s="6" t="n">
        <v>16.2</v>
      </c>
      <c r="H22" s="6" t="n">
        <v>13.4</v>
      </c>
      <c r="I22" s="6" t="n">
        <v>6.7</v>
      </c>
      <c r="J22" s="6" t="n">
        <v>29</v>
      </c>
      <c r="K22" s="6" t="n">
        <v>-8</v>
      </c>
      <c r="L22" s="6" t="n">
        <v>10.9</v>
      </c>
    </row>
    <row r="23">
      <c r="A23" s="5" t="inlineStr">
        <is>
          <t>2025年1月</t>
        </is>
      </c>
      <c r="B23" s="6" t="n">
        <v>109</v>
      </c>
      <c r="C23" s="6" t="n">
        <v>-2</v>
      </c>
      <c r="D23" s="6" t="n">
        <v>61</v>
      </c>
      <c r="E23" s="6" t="n">
        <v>49</v>
      </c>
      <c r="F23" s="6" t="n">
        <v>-27</v>
      </c>
      <c r="G23" s="6" t="n">
        <v>18.4</v>
      </c>
      <c r="H23" s="6" t="n">
        <v>13.4</v>
      </c>
      <c r="I23" s="6" t="n">
        <v>5.3</v>
      </c>
      <c r="J23" s="6" t="n">
        <v>21</v>
      </c>
      <c r="K23" s="6" t="n">
        <v>-15</v>
      </c>
      <c r="L23" s="6" t="n">
        <v>11.6</v>
      </c>
    </row>
    <row r="24">
      <c r="A24" s="5" t="inlineStr">
        <is>
          <t>2025年2月</t>
        </is>
      </c>
      <c r="B24" s="6" t="n">
        <v>91</v>
      </c>
      <c r="C24" s="6" t="n">
        <v>51</v>
      </c>
      <c r="D24" s="6" t="n">
        <v>65.59999999999999</v>
      </c>
      <c r="E24" s="6" t="n">
        <v>33</v>
      </c>
      <c r="F24" s="6" t="n">
        <v>-2</v>
      </c>
      <c r="G24" s="6" t="n">
        <v>17</v>
      </c>
      <c r="H24" s="6" t="n">
        <v>10.7</v>
      </c>
      <c r="I24" s="6" t="n">
        <v>5</v>
      </c>
      <c r="J24" s="6" t="n">
        <v>15</v>
      </c>
      <c r="K24" s="6" t="n">
        <v>-8</v>
      </c>
      <c r="L24" s="6" t="n">
        <v>10.8</v>
      </c>
    </row>
    <row r="25">
      <c r="A25" s="5" t="inlineStr">
        <is>
          <t>2025年3月</t>
        </is>
      </c>
      <c r="B25" s="6" t="n">
        <v>122</v>
      </c>
      <c r="C25" s="6" t="n">
        <v>31</v>
      </c>
      <c r="D25" s="6" t="n">
        <v>62.7</v>
      </c>
      <c r="E25" s="6" t="n">
        <v>48</v>
      </c>
      <c r="F25" s="6" t="n">
        <v>-4</v>
      </c>
      <c r="G25" s="6" t="n">
        <v>17</v>
      </c>
      <c r="H25" s="6" t="n">
        <v>12.2</v>
      </c>
      <c r="I25" s="6" t="n">
        <v>6.8</v>
      </c>
      <c r="J25" s="6" t="n">
        <v>25</v>
      </c>
      <c r="K25" s="6" t="n">
        <v>-7</v>
      </c>
      <c r="L25" s="6" t="n">
        <v>12.9</v>
      </c>
    </row>
    <row r="26">
      <c r="A26" s="5" t="inlineStr">
        <is>
          <t>2025年4月</t>
        </is>
      </c>
      <c r="B26" s="6" t="n">
        <v>115</v>
      </c>
      <c r="C26" s="6" t="n">
        <v>31</v>
      </c>
      <c r="D26" s="6" t="n">
        <v>65.5</v>
      </c>
      <c r="E26" s="6" t="n">
        <v>44</v>
      </c>
      <c r="F26" s="6" t="n">
        <v>-3</v>
      </c>
      <c r="G26" s="6" t="n">
        <v>15.6</v>
      </c>
      <c r="H26" s="6" t="n">
        <v>12.2</v>
      </c>
      <c r="I26" s="6" t="n">
        <v>4.8</v>
      </c>
      <c r="J26" s="6" t="n">
        <v>17</v>
      </c>
      <c r="K26" s="6" t="n">
        <v>-18</v>
      </c>
      <c r="L26" s="6" t="n">
        <v>9.5</v>
      </c>
    </row>
    <row r="27">
      <c r="A27" s="5" t="inlineStr">
        <is>
          <t>2025年5月</t>
        </is>
      </c>
      <c r="B27" s="6" t="n">
        <v>126</v>
      </c>
      <c r="C27" s="6" t="n">
        <v>29</v>
      </c>
      <c r="D27" s="6" t="n">
        <v>65.2</v>
      </c>
      <c r="E27" s="6" t="n">
        <v>47</v>
      </c>
      <c r="F27" s="6" t="n">
        <v>-5</v>
      </c>
      <c r="G27" s="6" t="n">
        <v>15.3</v>
      </c>
      <c r="H27" s="6" t="n">
        <v>12.6</v>
      </c>
      <c r="I27" s="6" t="n">
        <v>5.2</v>
      </c>
      <c r="J27" s="6" t="n">
        <v>20</v>
      </c>
      <c r="K27" s="6" t="n">
        <v>-18</v>
      </c>
      <c r="L27" s="6" t="n">
        <v>10.3</v>
      </c>
    </row>
    <row r="28">
      <c r="A28" s="5" t="inlineStr">
        <is>
          <t>2025年6月</t>
        </is>
      </c>
      <c r="B28" s="6" t="n">
        <v>134</v>
      </c>
      <c r="C28" s="6" t="n">
        <v>30</v>
      </c>
      <c r="D28" s="6" t="n">
        <v>64.2</v>
      </c>
      <c r="E28" s="6" t="n">
        <v>51</v>
      </c>
      <c r="F28" s="6" t="n">
        <v>5</v>
      </c>
      <c r="G28" s="6" t="n">
        <v>16.1</v>
      </c>
      <c r="H28" s="6" t="n">
        <v>12</v>
      </c>
      <c r="I28" s="6" t="n">
        <v>5.8</v>
      </c>
      <c r="J28" s="6" t="n">
        <v>23</v>
      </c>
      <c r="K28" s="6" t="n">
        <v>-7</v>
      </c>
      <c r="L28" s="6" t="n">
        <v>11</v>
      </c>
    </row>
    <row r="29">
      <c r="A29" s="5" t="inlineStr">
        <is>
          <t>2025年7月</t>
        </is>
      </c>
      <c r="B29" s="6" t="n">
        <v>121</v>
      </c>
      <c r="C29" s="6" t="n">
        <v>14</v>
      </c>
      <c r="D29" s="6" t="n">
        <v>65.90000000000001</v>
      </c>
      <c r="E29" s="6" t="n">
        <v>45</v>
      </c>
      <c r="F29" s="6" t="n">
        <v>1</v>
      </c>
      <c r="G29" s="6" t="n">
        <v>14.5</v>
      </c>
      <c r="H29" s="6" t="n">
        <v>12.9</v>
      </c>
      <c r="I29" s="6" t="n">
        <v>4.7</v>
      </c>
      <c r="J29" s="6" t="n">
        <v>17</v>
      </c>
      <c r="K29" s="6" t="n">
        <v>-20</v>
      </c>
      <c r="L29" s="6" t="n">
        <v>9.300000000000001</v>
      </c>
    </row>
    <row r="30">
      <c r="A30" s="5" t="inlineStr">
        <is>
          <t>2025年8月</t>
        </is>
      </c>
      <c r="B30" s="6" t="n">
        <v>132</v>
      </c>
      <c r="C30" s="6" t="n">
        <v>9</v>
      </c>
      <c r="D30" s="6" t="n">
        <v>65.7</v>
      </c>
      <c r="E30" s="6" t="n">
        <v>47</v>
      </c>
      <c r="F30" s="6" t="n">
        <v>-2</v>
      </c>
      <c r="G30" s="6" t="n">
        <v>14.2</v>
      </c>
      <c r="H30" s="6" t="n">
        <v>12.5</v>
      </c>
      <c r="I30" s="6" t="n">
        <v>6</v>
      </c>
      <c r="J30" s="6" t="n">
        <v>21</v>
      </c>
      <c r="K30" s="6" t="n">
        <v>-5</v>
      </c>
      <c r="L30" s="6" t="n">
        <v>10.5</v>
      </c>
    </row>
    <row r="31">
      <c r="A31" s="5" t="inlineStr">
        <is>
          <t>2025年9月</t>
        </is>
      </c>
      <c r="B31" s="6" t="n">
        <v>150</v>
      </c>
      <c r="C31" s="6" t="n">
        <v>13</v>
      </c>
      <c r="D31" s="6" t="n">
        <v>66.90000000000001</v>
      </c>
      <c r="E31" s="6" t="n">
        <v>49</v>
      </c>
      <c r="F31" s="6" t="n">
        <v>-6</v>
      </c>
      <c r="G31" s="6" t="n">
        <v>14.3</v>
      </c>
      <c r="H31" s="6" t="n">
        <v>11.6</v>
      </c>
      <c r="I31" s="6" t="n">
        <v>5.8</v>
      </c>
      <c r="J31" s="6" t="n">
        <v>24</v>
      </c>
      <c r="K31" s="6" t="n">
        <v>-1</v>
      </c>
      <c r="L31" s="6" t="n">
        <v>10.8</v>
      </c>
    </row>
    <row r="32">
      <c r="A32" s="5" t="inlineStr">
        <is>
          <t>2025年10月</t>
        </is>
      </c>
      <c r="B32" s="6" t="n">
        <v>155</v>
      </c>
      <c r="C32" s="6" t="n">
        <v>4</v>
      </c>
      <c r="D32" s="6" t="n">
        <v>68.7</v>
      </c>
      <c r="E32" s="6" t="n">
        <v>51</v>
      </c>
      <c r="F32" s="6" t="n">
        <v>-10</v>
      </c>
      <c r="G32" s="6" t="n">
        <v>13.5</v>
      </c>
      <c r="H32" s="6" t="n">
        <v>12.3</v>
      </c>
      <c r="I32" s="6" t="n">
        <v>3.7</v>
      </c>
      <c r="J32" s="6" t="n">
        <v>19</v>
      </c>
      <c r="K32" s="6" t="n">
        <v>-10</v>
      </c>
      <c r="L32" s="6" t="n">
        <v>8.4</v>
      </c>
    </row>
    <row r="33">
      <c r="A33" s="5" t="inlineStr">
        <is>
          <t>2025年11月</t>
        </is>
      </c>
      <c r="B33" s="6" t="n">
        <v>149</v>
      </c>
      <c r="C33" s="6" t="n">
        <v>-4</v>
      </c>
      <c r="D33" s="6" t="n">
        <v>67</v>
      </c>
      <c r="E33" s="6" t="n">
        <v>49</v>
      </c>
      <c r="F33" s="6" t="n">
        <v>-19</v>
      </c>
      <c r="G33" s="6" t="n">
        <v>14</v>
      </c>
      <c r="H33" s="6" t="n">
        <v>11.7</v>
      </c>
      <c r="I33" s="6" t="n">
        <v>5.7</v>
      </c>
      <c r="J33" s="6" t="n">
        <v>24</v>
      </c>
      <c r="K33" s="6" t="n">
        <v>-7</v>
      </c>
      <c r="L33" s="6" t="n">
        <v>11</v>
      </c>
    </row>
    <row r="34">
      <c r="A34" s="5" t="inlineStr">
        <is>
          <t>2025年12月</t>
        </is>
      </c>
      <c r="B34" s="6" t="n">
        <v>146</v>
      </c>
      <c r="C34" s="6" t="n">
        <v>-11</v>
      </c>
      <c r="D34" s="6" t="n">
        <v>64.3</v>
      </c>
      <c r="E34" s="6" t="n">
        <v>51</v>
      </c>
      <c r="F34" s="6" t="n">
        <v>-27</v>
      </c>
      <c r="G34" s="6" t="n">
        <v>14.9</v>
      </c>
      <c r="H34" s="6" t="n">
        <v>12.1</v>
      </c>
      <c r="I34" s="6" t="n">
        <v>6.8</v>
      </c>
      <c r="J34" s="6" t="n">
        <v>29</v>
      </c>
      <c r="K34" s="6" t="n">
        <v>-1</v>
      </c>
      <c r="L34" s="6" t="n">
        <v>12.8</v>
      </c>
    </row>
    <row r="35">
      <c r="A35" s="5" t="inlineStr">
        <is>
          <t>2026年1月</t>
        </is>
      </c>
      <c r="B35" s="6" t="n">
        <v>89</v>
      </c>
      <c r="C35" s="6" t="n">
        <v>-18</v>
      </c>
      <c r="D35" s="6" t="n">
        <v>57.5</v>
      </c>
      <c r="E35" s="6" t="n">
        <v>47</v>
      </c>
      <c r="F35" s="6" t="n">
        <v>-4</v>
      </c>
      <c r="G35" s="6" t="n">
        <v>19.8</v>
      </c>
      <c r="H35" s="6" t="n">
        <v>15.5</v>
      </c>
      <c r="I35" s="6" t="n">
        <v>5</v>
      </c>
      <c r="J35" s="6" t="n">
        <v>18</v>
      </c>
      <c r="K35" s="6" t="n">
        <v>-15</v>
      </c>
      <c r="L35" s="6" t="n">
        <v>11.6</v>
      </c>
    </row>
  </sheetData>
  <mergeCells count="3">
    <mergeCell ref="J1:L1"/>
    <mergeCell ref="B1:D1"/>
    <mergeCell ref="E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</cols>
  <sheetData>
    <row r="1">
      <c r="A1" s="14" t="inlineStr">
        <is>
          <t>月份</t>
        </is>
      </c>
      <c r="B1" s="14" t="inlineStr">
        <is>
          <t>零售渗透率%</t>
        </is>
      </c>
      <c r="C1" s="14" t="inlineStr">
        <is>
          <t>批発渗透率%</t>
        </is>
      </c>
      <c r="D1" s="14" t="inlineStr">
        <is>
          <t>自主NEV渗透率%</t>
        </is>
      </c>
      <c r="E1" s="14" t="inlineStr">
        <is>
          <t>豪華NEV渗透率%</t>
        </is>
      </c>
      <c r="F1" s="14" t="inlineStr">
        <is>
          <t>合資NEV渗透率%</t>
        </is>
      </c>
    </row>
    <row r="2">
      <c r="A2" s="5" t="inlineStr">
        <is>
          <t>2023年5月</t>
        </is>
      </c>
      <c r="B2" s="6" t="n">
        <v>33.3</v>
      </c>
      <c r="C2" s="6" t="n">
        <v>33.7</v>
      </c>
      <c r="D2" s="6" t="n">
        <v>57.1</v>
      </c>
      <c r="E2" s="6" t="n">
        <v>23</v>
      </c>
      <c r="F2" s="6" t="n">
        <v>4.3</v>
      </c>
    </row>
    <row r="3">
      <c r="A3" s="5" t="inlineStr">
        <is>
          <t>2023年6月</t>
        </is>
      </c>
      <c r="B3" s="6" t="n">
        <v>35.1</v>
      </c>
      <c r="C3" s="7" t="n"/>
      <c r="D3" s="6" t="n">
        <v>58.8</v>
      </c>
      <c r="E3" s="6" t="n">
        <v>30.9</v>
      </c>
      <c r="F3" s="6" t="n">
        <v>3.7</v>
      </c>
    </row>
    <row r="4">
      <c r="A4" s="5" t="inlineStr">
        <is>
          <t>2023年7月</t>
        </is>
      </c>
      <c r="B4" s="6" t="n">
        <v>36.1</v>
      </c>
      <c r="C4" s="6" t="n">
        <v>35.7</v>
      </c>
      <c r="D4" s="6" t="n">
        <v>59.7</v>
      </c>
      <c r="E4" s="6" t="n">
        <v>20.3</v>
      </c>
      <c r="F4" s="6" t="n">
        <v>5.1</v>
      </c>
    </row>
    <row r="5">
      <c r="A5" s="5" t="inlineStr">
        <is>
          <t>2023年8月</t>
        </is>
      </c>
      <c r="B5" s="6" t="n">
        <v>37.3</v>
      </c>
      <c r="C5" s="6" t="n">
        <v>35.7</v>
      </c>
      <c r="D5" s="6" t="n">
        <v>60.2</v>
      </c>
      <c r="E5" s="6" t="n">
        <v>30</v>
      </c>
      <c r="F5" s="6" t="n">
        <v>5.2</v>
      </c>
    </row>
    <row r="6">
      <c r="A6" s="5" t="inlineStr">
        <is>
          <t>2023年9月</t>
        </is>
      </c>
      <c r="B6" s="6" t="n">
        <v>36.9</v>
      </c>
      <c r="C6" s="6" t="n">
        <v>33.9</v>
      </c>
      <c r="D6" s="6" t="n">
        <v>59.4</v>
      </c>
      <c r="E6" s="6" t="n">
        <v>24</v>
      </c>
      <c r="F6" s="6" t="n">
        <v>6.2</v>
      </c>
    </row>
    <row r="7">
      <c r="A7" s="5" t="inlineStr">
        <is>
          <t>2023年10月</t>
        </is>
      </c>
      <c r="B7" s="6" t="n">
        <v>37.8</v>
      </c>
      <c r="C7" s="6" t="n">
        <v>36.2</v>
      </c>
      <c r="D7" s="6" t="n">
        <v>60.4</v>
      </c>
      <c r="E7" s="6" t="n">
        <v>19.6</v>
      </c>
      <c r="F7" s="6" t="n">
        <v>6.5</v>
      </c>
    </row>
    <row r="8">
      <c r="A8" s="5" t="inlineStr">
        <is>
          <t>2023年11月</t>
        </is>
      </c>
      <c r="B8" s="6" t="n">
        <v>40.4</v>
      </c>
      <c r="C8" s="6" t="n">
        <v>37.7</v>
      </c>
      <c r="D8" s="6" t="n">
        <v>62.1</v>
      </c>
      <c r="E8" s="6" t="n">
        <v>30.9</v>
      </c>
      <c r="F8" s="6" t="n">
        <v>6.6</v>
      </c>
    </row>
    <row r="9">
      <c r="A9" s="5" t="inlineStr">
        <is>
          <t>2023年12月</t>
        </is>
      </c>
      <c r="B9" s="6" t="n">
        <v>40.2</v>
      </c>
      <c r="C9" s="6" t="n">
        <v>40.8</v>
      </c>
      <c r="D9" s="6" t="n">
        <v>64.59999999999999</v>
      </c>
      <c r="E9" s="6" t="n">
        <v>29.5</v>
      </c>
      <c r="F9" s="6" t="n">
        <v>6</v>
      </c>
    </row>
    <row r="10">
      <c r="A10" s="5" t="inlineStr">
        <is>
          <t>2024年1月</t>
        </is>
      </c>
      <c r="B10" s="6" t="n">
        <v>32.8</v>
      </c>
      <c r="C10" s="6" t="n">
        <v>32.6</v>
      </c>
      <c r="D10" s="6" t="n">
        <v>51.8</v>
      </c>
      <c r="E10" s="6" t="n">
        <v>22.3</v>
      </c>
      <c r="F10" s="6" t="n">
        <v>5.1</v>
      </c>
    </row>
    <row r="11">
      <c r="A11" s="5" t="inlineStr">
        <is>
          <t>2024年2月</t>
        </is>
      </c>
      <c r="B11" s="6" t="n">
        <v>35.8</v>
      </c>
      <c r="C11" s="6" t="n">
        <v>34.5</v>
      </c>
      <c r="D11" s="6" t="n">
        <v>55.3</v>
      </c>
      <c r="E11" s="6" t="n">
        <v>24</v>
      </c>
      <c r="F11" s="6" t="n">
        <v>4.9</v>
      </c>
    </row>
    <row r="12">
      <c r="A12" s="5" t="inlineStr">
        <is>
          <t>2024年3月</t>
        </is>
      </c>
      <c r="B12" s="6" t="n">
        <v>41.6</v>
      </c>
      <c r="C12" s="6" t="n">
        <v>37</v>
      </c>
      <c r="D12" s="6" t="n">
        <v>63.3</v>
      </c>
      <c r="E12" s="6" t="n">
        <v>28.4</v>
      </c>
      <c r="F12" s="6" t="n">
        <v>7.4</v>
      </c>
    </row>
    <row r="13">
      <c r="A13" s="5" t="inlineStr">
        <is>
          <t>2024年4月</t>
        </is>
      </c>
      <c r="B13" s="6" t="n">
        <v>43.7</v>
      </c>
      <c r="C13" s="6" t="n">
        <v>39.9</v>
      </c>
      <c r="D13" s="6" t="n">
        <v>66.8</v>
      </c>
      <c r="E13" s="6" t="n">
        <v>22.6</v>
      </c>
      <c r="F13" s="6" t="n">
        <v>7.5</v>
      </c>
    </row>
    <row r="14">
      <c r="A14" s="5" t="inlineStr">
        <is>
          <t>2024年5月</t>
        </is>
      </c>
      <c r="B14" s="6" t="n">
        <v>47</v>
      </c>
      <c r="C14" s="6" t="n">
        <v>44.2</v>
      </c>
      <c r="D14" s="6" t="n">
        <v>71.2</v>
      </c>
      <c r="E14" s="6" t="n">
        <v>28.4</v>
      </c>
      <c r="F14" s="6" t="n">
        <v>7.5</v>
      </c>
    </row>
    <row r="15">
      <c r="A15" s="5" t="inlineStr">
        <is>
          <t>2024年6月</t>
        </is>
      </c>
      <c r="B15" s="6" t="n">
        <v>48.4</v>
      </c>
      <c r="C15" s="6" t="n">
        <v>45.3</v>
      </c>
      <c r="D15" s="6" t="n">
        <v>72.5</v>
      </c>
      <c r="E15" s="6" t="n">
        <v>29.8</v>
      </c>
      <c r="F15" s="6" t="n">
        <v>7.4</v>
      </c>
    </row>
    <row r="16">
      <c r="A16" s="5" t="inlineStr">
        <is>
          <t>2024年7月</t>
        </is>
      </c>
      <c r="B16" s="6" t="n">
        <v>51.1</v>
      </c>
      <c r="C16" s="6" t="n">
        <v>48.1</v>
      </c>
      <c r="D16" s="6" t="n">
        <v>73.90000000000001</v>
      </c>
      <c r="E16" s="6" t="n">
        <v>27</v>
      </c>
      <c r="F16" s="6" t="n">
        <v>8.300000000000001</v>
      </c>
    </row>
    <row r="17">
      <c r="A17" s="5" t="inlineStr">
        <is>
          <t>2024年8月</t>
        </is>
      </c>
      <c r="B17" s="6" t="n">
        <v>53.9</v>
      </c>
      <c r="C17" s="6" t="n">
        <v>48.9</v>
      </c>
      <c r="D17" s="6" t="n">
        <v>75.90000000000001</v>
      </c>
      <c r="E17" s="6" t="n">
        <v>33.5</v>
      </c>
      <c r="F17" s="6" t="n">
        <v>8</v>
      </c>
    </row>
    <row r="18">
      <c r="A18" s="5" t="inlineStr">
        <is>
          <t>2024年9月</t>
        </is>
      </c>
      <c r="B18" s="6" t="n">
        <v>53.3</v>
      </c>
      <c r="C18" s="6" t="n">
        <v>49.1</v>
      </c>
      <c r="D18" s="6" t="n">
        <v>74.90000000000001</v>
      </c>
      <c r="E18" s="6" t="n">
        <v>33.5</v>
      </c>
      <c r="F18" s="6" t="n">
        <v>7</v>
      </c>
    </row>
    <row r="19">
      <c r="A19" s="5" t="inlineStr">
        <is>
          <t>2024年10月</t>
        </is>
      </c>
      <c r="B19" s="6" t="n">
        <v>52.9</v>
      </c>
      <c r="C19" s="6" t="n">
        <v>50.1</v>
      </c>
      <c r="D19" s="6" t="n">
        <v>74.59999999999999</v>
      </c>
      <c r="E19" s="6" t="n">
        <v>24.9</v>
      </c>
      <c r="F19" s="6" t="n">
        <v>6.2</v>
      </c>
    </row>
    <row r="20">
      <c r="A20" s="5" t="inlineStr">
        <is>
          <t>2024年11月</t>
        </is>
      </c>
      <c r="B20" s="6" t="n">
        <v>52.3</v>
      </c>
      <c r="C20" s="6" t="n">
        <v>48.9</v>
      </c>
      <c r="D20" s="6" t="n">
        <v>73.2</v>
      </c>
      <c r="E20" s="6" t="n">
        <v>32.9</v>
      </c>
      <c r="F20" s="6" t="n">
        <v>6.8</v>
      </c>
    </row>
    <row r="21">
      <c r="A21" s="5" t="inlineStr">
        <is>
          <t>2024年12月</t>
        </is>
      </c>
      <c r="B21" s="6" t="n">
        <v>49.4</v>
      </c>
      <c r="C21" s="6" t="n">
        <v>49.2</v>
      </c>
      <c r="D21" s="6" t="n">
        <v>71.3</v>
      </c>
      <c r="E21" s="6" t="n">
        <v>33.9</v>
      </c>
      <c r="F21" s="6" t="n">
        <v>4.8</v>
      </c>
    </row>
    <row r="22">
      <c r="A22" s="5" t="inlineStr">
        <is>
          <t>2025年1月</t>
        </is>
      </c>
      <c r="B22" s="6" t="n">
        <v>41.5</v>
      </c>
      <c r="C22" s="6" t="n">
        <v>42.3</v>
      </c>
      <c r="D22" s="6" t="n">
        <v>60.6</v>
      </c>
      <c r="E22" s="6" t="n">
        <v>20</v>
      </c>
      <c r="F22" s="6" t="n">
        <v>3</v>
      </c>
    </row>
    <row r="23">
      <c r="A23" s="5" t="inlineStr">
        <is>
          <t>2025年2月</t>
        </is>
      </c>
      <c r="B23" s="6" t="n">
        <v>49.5</v>
      </c>
      <c r="C23" s="6" t="n">
        <v>47</v>
      </c>
      <c r="D23" s="6" t="n">
        <v>70</v>
      </c>
      <c r="E23" s="6" t="n">
        <v>23</v>
      </c>
      <c r="F23" s="6" t="n">
        <v>4</v>
      </c>
    </row>
    <row r="24">
      <c r="A24" s="5" t="inlineStr">
        <is>
          <t>2025年3月</t>
        </is>
      </c>
      <c r="B24" s="6" t="n">
        <v>51.1</v>
      </c>
      <c r="C24" s="6" t="n">
        <v>46.8</v>
      </c>
      <c r="D24" s="6" t="n">
        <v>72</v>
      </c>
      <c r="E24" s="6" t="n">
        <v>35</v>
      </c>
      <c r="F24" s="6" t="n">
        <v>6</v>
      </c>
    </row>
    <row r="25">
      <c r="A25" s="5" t="inlineStr">
        <is>
          <t>2025年4月</t>
        </is>
      </c>
      <c r="B25" s="6" t="n">
        <v>51.5</v>
      </c>
      <c r="C25" s="6" t="n">
        <v>51.7</v>
      </c>
      <c r="D25" s="6" t="n">
        <v>72.8</v>
      </c>
      <c r="E25" s="6" t="n">
        <v>23.5</v>
      </c>
      <c r="F25" s="6" t="n">
        <v>6.8</v>
      </c>
    </row>
    <row r="26">
      <c r="A26" s="5" t="inlineStr">
        <is>
          <t>2025年5月</t>
        </is>
      </c>
      <c r="B26" s="6" t="n">
        <v>52.9</v>
      </c>
      <c r="C26" s="6" t="n">
        <v>52.6</v>
      </c>
      <c r="D26" s="6" t="n">
        <v>74.59999999999999</v>
      </c>
      <c r="E26" s="6" t="n">
        <v>25</v>
      </c>
      <c r="F26" s="6" t="n">
        <v>6.4</v>
      </c>
    </row>
    <row r="27">
      <c r="A27" s="5" t="inlineStr">
        <is>
          <t>2025年6月</t>
        </is>
      </c>
      <c r="B27" s="6" t="n">
        <v>53.3</v>
      </c>
      <c r="C27" s="6" t="n">
        <v>49.8</v>
      </c>
      <c r="D27" s="6" t="n">
        <v>75.40000000000001</v>
      </c>
      <c r="E27" s="6" t="n">
        <v>30.3</v>
      </c>
      <c r="F27" s="6" t="n">
        <v>5.3</v>
      </c>
    </row>
    <row r="28">
      <c r="A28" s="5" t="inlineStr">
        <is>
          <t>2025年7月</t>
        </is>
      </c>
      <c r="B28" s="6" t="n">
        <v>54</v>
      </c>
      <c r="C28" s="6" t="n">
        <v>53.2</v>
      </c>
      <c r="D28" s="6" t="n">
        <v>74.90000000000001</v>
      </c>
      <c r="E28" s="6" t="n">
        <v>30</v>
      </c>
      <c r="F28" s="6" t="n">
        <v>6.7</v>
      </c>
    </row>
    <row r="29">
      <c r="A29" s="5" t="inlineStr">
        <is>
          <t>2025年8月</t>
        </is>
      </c>
      <c r="B29" s="6" t="n">
        <v>55.2</v>
      </c>
      <c r="C29" s="6" t="n">
        <v>52.2</v>
      </c>
      <c r="D29" s="6" t="n">
        <v>76</v>
      </c>
      <c r="E29" s="6" t="n">
        <v>31.9</v>
      </c>
      <c r="F29" s="6" t="n">
        <v>6.6</v>
      </c>
    </row>
    <row r="30">
      <c r="A30" s="5" t="inlineStr">
        <is>
          <t>2025年9月</t>
        </is>
      </c>
      <c r="B30" s="6" t="n">
        <v>57.8</v>
      </c>
      <c r="C30" s="6" t="n">
        <v>53.5</v>
      </c>
      <c r="D30" s="6" t="n">
        <v>78.09999999999999</v>
      </c>
      <c r="E30" s="6" t="n">
        <v>34.5</v>
      </c>
      <c r="F30" s="6" t="n">
        <v>7.4</v>
      </c>
    </row>
    <row r="31">
      <c r="A31" s="5" t="inlineStr">
        <is>
          <t>2025年10月</t>
        </is>
      </c>
      <c r="B31" s="6" t="n">
        <v>57.2</v>
      </c>
      <c r="C31" s="6" t="n">
        <v>55.3</v>
      </c>
      <c r="D31" s="6" t="n">
        <v>77.90000000000001</v>
      </c>
      <c r="E31" s="6" t="n">
        <v>22.2</v>
      </c>
      <c r="F31" s="6" t="n">
        <v>7</v>
      </c>
    </row>
    <row r="32">
      <c r="A32" s="5" t="inlineStr">
        <is>
          <t>2025年11月</t>
        </is>
      </c>
      <c r="B32" s="6" t="n">
        <v>59.3</v>
      </c>
      <c r="C32" s="6" t="n">
        <v>56.9</v>
      </c>
      <c r="D32" s="6" t="n">
        <v>79.59999999999999</v>
      </c>
      <c r="E32" s="6" t="n">
        <v>38.8</v>
      </c>
      <c r="F32" s="6" t="n">
        <v>8</v>
      </c>
    </row>
    <row r="33">
      <c r="A33" s="5" t="inlineStr">
        <is>
          <t>2025年12月</t>
        </is>
      </c>
      <c r="B33" s="6" t="n">
        <v>59.1</v>
      </c>
      <c r="C33" s="6" t="n">
        <v>56</v>
      </c>
      <c r="D33" s="6" t="n">
        <v>80.90000000000001</v>
      </c>
      <c r="E33" s="6" t="n">
        <v>39.1</v>
      </c>
      <c r="F33" s="6" t="n">
        <v>8.199999999999999</v>
      </c>
    </row>
    <row r="34">
      <c r="A34" s="5" t="inlineStr">
        <is>
          <t>2026年1月</t>
        </is>
      </c>
      <c r="B34" s="6" t="n">
        <v>38.6</v>
      </c>
      <c r="C34" s="6" t="n">
        <v>43.8</v>
      </c>
      <c r="D34" s="6" t="n">
        <v>61.7</v>
      </c>
      <c r="E34" s="6" t="n">
        <v>16.1</v>
      </c>
      <c r="F34" s="6" t="n">
        <v>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5" t="inlineStr">
        <is>
          <t>月份</t>
        </is>
      </c>
      <c r="B1" s="15" t="inlineStr">
        <is>
          <t>A00級</t>
        </is>
      </c>
      <c r="C1" s="2" t="n"/>
      <c r="D1" s="3" t="n"/>
      <c r="E1" s="15" t="inlineStr">
        <is>
          <t>A0級</t>
        </is>
      </c>
      <c r="F1" s="3" t="n"/>
      <c r="G1" s="15" t="inlineStr">
        <is>
          <t>A級</t>
        </is>
      </c>
      <c r="H1" s="3" t="n"/>
      <c r="I1" s="15" t="inlineStr">
        <is>
          <t>B級</t>
        </is>
      </c>
      <c r="J1" s="2" t="n"/>
      <c r="K1" s="3" t="n"/>
    </row>
    <row r="2">
      <c r="A2" s="4" t="inlineStr"/>
      <c r="B2" s="4" t="inlineStr">
        <is>
          <t>批発万辆</t>
        </is>
      </c>
      <c r="C2" s="4" t="inlineStr">
        <is>
          <t>同比%</t>
        </is>
      </c>
      <c r="D2" s="4" t="inlineStr">
        <is>
          <t>BEV占比%</t>
        </is>
      </c>
      <c r="E2" s="4" t="inlineStr">
        <is>
          <t>批発万辆</t>
        </is>
      </c>
      <c r="F2" s="4" t="inlineStr">
        <is>
          <t>BEV占比%</t>
        </is>
      </c>
      <c r="G2" s="4" t="inlineStr">
        <is>
          <t>批発万辆</t>
        </is>
      </c>
      <c r="H2" s="4" t="inlineStr">
        <is>
          <t>BEV占比%</t>
        </is>
      </c>
      <c r="I2" s="4" t="inlineStr">
        <is>
          <t>批発万辆</t>
        </is>
      </c>
      <c r="J2" s="4" t="inlineStr">
        <is>
          <t>同比%</t>
        </is>
      </c>
      <c r="K2" s="4" t="inlineStr">
        <is>
          <t>BEV占比%</t>
        </is>
      </c>
    </row>
    <row r="3">
      <c r="A3" s="5" t="inlineStr">
        <is>
          <t>2023年5月</t>
        </is>
      </c>
      <c r="B3" s="6" t="n">
        <v>7.3</v>
      </c>
      <c r="C3" s="6" t="n">
        <v>-31</v>
      </c>
      <c r="D3" s="6" t="n">
        <v>15</v>
      </c>
      <c r="E3" s="6" t="n">
        <v>15.5</v>
      </c>
      <c r="F3" s="6" t="n">
        <v>32</v>
      </c>
      <c r="G3" s="6" t="n">
        <v>10</v>
      </c>
      <c r="H3" s="6" t="n">
        <v>21</v>
      </c>
      <c r="I3" s="6" t="n">
        <v>13.7</v>
      </c>
      <c r="J3" s="6" t="n">
        <v>80</v>
      </c>
      <c r="K3" s="6" t="n">
        <v>29</v>
      </c>
    </row>
    <row r="4">
      <c r="A4" s="5" t="inlineStr">
        <is>
          <t>2023年6月</t>
        </is>
      </c>
      <c r="B4" s="6" t="n">
        <v>8.199999999999999</v>
      </c>
      <c r="C4" s="6" t="n">
        <v>-30</v>
      </c>
      <c r="D4" s="6" t="n">
        <v>16</v>
      </c>
      <c r="E4" s="6" t="n">
        <v>16.1</v>
      </c>
      <c r="F4" s="6" t="n">
        <v>30</v>
      </c>
      <c r="G4" s="6" t="n">
        <v>10.7</v>
      </c>
      <c r="H4" s="6" t="n">
        <v>20</v>
      </c>
      <c r="I4" s="6" t="n">
        <v>16.4</v>
      </c>
      <c r="J4" s="6" t="n">
        <v>19</v>
      </c>
      <c r="K4" s="6" t="n">
        <v>31</v>
      </c>
    </row>
    <row r="5">
      <c r="A5" s="5" t="inlineStr">
        <is>
          <t>2023年7月</t>
        </is>
      </c>
      <c r="B5" s="6" t="n">
        <v>8.5</v>
      </c>
      <c r="C5" s="6" t="n">
        <v>-35</v>
      </c>
      <c r="D5" s="6" t="n">
        <v>17</v>
      </c>
      <c r="E5" s="6" t="n">
        <v>15.6</v>
      </c>
      <c r="F5" s="6" t="n">
        <v>32</v>
      </c>
      <c r="G5" s="6" t="n">
        <v>9.5</v>
      </c>
      <c r="H5" s="6" t="n">
        <v>19</v>
      </c>
      <c r="I5" s="6" t="n">
        <v>14.5</v>
      </c>
      <c r="J5" s="6" t="n">
        <v>69</v>
      </c>
      <c r="K5" s="6" t="n">
        <v>29</v>
      </c>
    </row>
    <row r="6">
      <c r="A6" s="5" t="inlineStr">
        <is>
          <t>2023年8月</t>
        </is>
      </c>
      <c r="B6" s="6" t="n">
        <v>8.5</v>
      </c>
      <c r="C6" s="6" t="n">
        <v>-33</v>
      </c>
      <c r="D6" s="6" t="n">
        <v>15</v>
      </c>
      <c r="E6" s="6" t="n">
        <v>17.1</v>
      </c>
      <c r="F6" s="6" t="n">
        <v>31</v>
      </c>
      <c r="G6" s="6" t="n">
        <v>11</v>
      </c>
      <c r="H6" s="6" t="n">
        <v>20</v>
      </c>
      <c r="I6" s="6" t="n">
        <v>17</v>
      </c>
      <c r="J6" s="6" t="n">
        <v>26</v>
      </c>
      <c r="K6" s="6" t="n">
        <v>31</v>
      </c>
    </row>
    <row r="7">
      <c r="A7" s="5" t="inlineStr">
        <is>
          <t>2023年9月</t>
        </is>
      </c>
      <c r="B7" s="6" t="n">
        <v>9.4</v>
      </c>
      <c r="C7" s="6" t="n">
        <v>-23</v>
      </c>
      <c r="D7" s="6" t="n">
        <v>17</v>
      </c>
      <c r="E7" s="6" t="n">
        <v>17.2</v>
      </c>
      <c r="F7" s="6" t="n">
        <v>31</v>
      </c>
      <c r="G7" s="6" t="n">
        <v>11.4</v>
      </c>
      <c r="H7" s="6" t="n">
        <v>20</v>
      </c>
      <c r="I7" s="6" t="n">
        <v>16.6</v>
      </c>
      <c r="J7" s="6" t="n">
        <v>17</v>
      </c>
      <c r="K7" s="6" t="n">
        <v>29</v>
      </c>
    </row>
    <row r="8">
      <c r="A8" s="5" t="inlineStr">
        <is>
          <t>2023年10月</t>
        </is>
      </c>
      <c r="B8" s="6" t="n">
        <v>10.7</v>
      </c>
      <c r="C8" s="6" t="n">
        <v>-17</v>
      </c>
      <c r="D8" s="6" t="n">
        <v>18</v>
      </c>
      <c r="E8" s="6" t="n">
        <v>20.1</v>
      </c>
      <c r="F8" s="6" t="n">
        <v>34</v>
      </c>
      <c r="G8" s="6" t="n">
        <v>9.800000000000001</v>
      </c>
      <c r="H8" s="6" t="n">
        <v>17</v>
      </c>
      <c r="I8" s="6" t="n">
        <v>16.4</v>
      </c>
      <c r="J8" s="6" t="n">
        <v>25</v>
      </c>
      <c r="K8" s="6" t="n">
        <v>28</v>
      </c>
    </row>
    <row r="9">
      <c r="A9" s="5" t="inlineStr">
        <is>
          <t>2023年11月</t>
        </is>
      </c>
      <c r="B9" s="6" t="n">
        <v>13.2</v>
      </c>
      <c r="C9" s="6" t="n">
        <v>-6</v>
      </c>
      <c r="D9" s="6" t="n">
        <v>20</v>
      </c>
      <c r="E9" s="6" t="n">
        <v>21.5</v>
      </c>
      <c r="F9" s="6" t="n">
        <v>33</v>
      </c>
      <c r="G9" s="6" t="n">
        <v>11.2</v>
      </c>
      <c r="H9" s="6" t="n">
        <v>17</v>
      </c>
      <c r="I9" s="6" t="n">
        <v>17.9</v>
      </c>
      <c r="J9" s="6" t="n">
        <v>4</v>
      </c>
      <c r="K9" s="6" t="n">
        <v>27</v>
      </c>
    </row>
    <row r="10">
      <c r="A10" s="5" t="inlineStr">
        <is>
          <t>2023年12月</t>
        </is>
      </c>
      <c r="B10" s="6" t="n">
        <v>16.1</v>
      </c>
      <c r="C10" s="6" t="n">
        <v>8</v>
      </c>
      <c r="D10" s="6" t="n">
        <v>21</v>
      </c>
      <c r="E10" s="6" t="n">
        <v>22.8</v>
      </c>
      <c r="F10" s="6" t="n">
        <v>30</v>
      </c>
      <c r="G10" s="6" t="n">
        <v>14.3</v>
      </c>
      <c r="H10" s="6" t="n">
        <v>19</v>
      </c>
      <c r="I10" s="6" t="n">
        <v>20.2</v>
      </c>
      <c r="J10" s="6" t="n">
        <v>47</v>
      </c>
      <c r="K10" s="6" t="n">
        <v>27</v>
      </c>
    </row>
    <row r="11">
      <c r="A11" s="5" t="inlineStr">
        <is>
          <t>2024年1月</t>
        </is>
      </c>
      <c r="B11" s="6" t="n">
        <v>8.6</v>
      </c>
      <c r="C11" s="6" t="n">
        <v>151</v>
      </c>
      <c r="D11" s="6" t="n">
        <v>21</v>
      </c>
      <c r="E11" s="6" t="n">
        <v>8.800000000000001</v>
      </c>
      <c r="F11" s="6" t="n">
        <v>22</v>
      </c>
      <c r="G11" s="6" t="n">
        <v>8.199999999999999</v>
      </c>
      <c r="H11" s="6" t="n">
        <v>20</v>
      </c>
      <c r="I11" s="6" t="n">
        <v>13.6</v>
      </c>
      <c r="J11" s="6" t="n">
        <v>35</v>
      </c>
      <c r="K11" s="6" t="n">
        <v>34</v>
      </c>
    </row>
    <row r="12">
      <c r="A12" s="5" t="inlineStr">
        <is>
          <t>2024年2月</t>
        </is>
      </c>
      <c r="B12" s="6" t="n">
        <v>4.5</v>
      </c>
      <c r="C12" s="6" t="n">
        <v>13</v>
      </c>
      <c r="D12" s="6" t="n">
        <v>17</v>
      </c>
      <c r="E12" s="6" t="n">
        <v>6.3</v>
      </c>
      <c r="F12" s="6" t="n">
        <v>23</v>
      </c>
      <c r="G12" s="6" t="n">
        <v>5</v>
      </c>
      <c r="H12" s="6" t="n">
        <v>19</v>
      </c>
      <c r="I12" s="6" t="n">
        <v>10.2</v>
      </c>
      <c r="J12" s="6" t="n">
        <v>-13</v>
      </c>
      <c r="K12" s="6" t="n">
        <v>38</v>
      </c>
    </row>
    <row r="13">
      <c r="A13" s="5" t="inlineStr">
        <is>
          <t>2024年3月</t>
        </is>
      </c>
      <c r="B13" s="6" t="n">
        <v>7.3</v>
      </c>
      <c r="C13" s="6" t="n">
        <v>27</v>
      </c>
      <c r="D13" s="6" t="n">
        <v>14</v>
      </c>
      <c r="E13" s="6" t="n">
        <v>13.9</v>
      </c>
      <c r="F13" s="6" t="n">
        <v>28</v>
      </c>
      <c r="G13" s="6" t="n">
        <v>11.1</v>
      </c>
      <c r="H13" s="6" t="n">
        <v>22</v>
      </c>
      <c r="I13" s="6" t="n">
        <v>16.1</v>
      </c>
      <c r="J13" s="6" t="n">
        <v>16</v>
      </c>
      <c r="K13" s="6" t="n">
        <v>32</v>
      </c>
    </row>
    <row r="14">
      <c r="A14" s="5" t="inlineStr">
        <is>
          <t>2024年4月</t>
        </is>
      </c>
      <c r="B14" s="6" t="n">
        <v>7.8</v>
      </c>
      <c r="C14" s="6" t="n">
        <v>39</v>
      </c>
      <c r="D14" s="6" t="n">
        <v>17</v>
      </c>
      <c r="E14" s="6" t="n">
        <v>11.2</v>
      </c>
      <c r="F14" s="6" t="n">
        <v>24</v>
      </c>
      <c r="G14" s="6" t="n">
        <v>9.800000000000001</v>
      </c>
      <c r="H14" s="6" t="n">
        <v>21</v>
      </c>
      <c r="I14" s="6" t="n">
        <v>15.7</v>
      </c>
      <c r="J14" s="6" t="n">
        <v>24</v>
      </c>
      <c r="K14" s="6" t="n">
        <v>34</v>
      </c>
    </row>
    <row r="15">
      <c r="A15" s="5" t="inlineStr">
        <is>
          <t>2024年5月</t>
        </is>
      </c>
      <c r="B15" s="6" t="n">
        <v>8.1</v>
      </c>
      <c r="C15" s="6" t="n">
        <v>11</v>
      </c>
      <c r="D15" s="6" t="n">
        <v>15</v>
      </c>
      <c r="E15" s="6" t="n">
        <v>12.7</v>
      </c>
      <c r="F15" s="6" t="n">
        <v>24</v>
      </c>
      <c r="G15" s="6" t="n">
        <v>10.9</v>
      </c>
      <c r="H15" s="6" t="n">
        <v>21</v>
      </c>
      <c r="I15" s="6" t="n">
        <v>19.4</v>
      </c>
      <c r="J15" s="6" t="n">
        <v>42</v>
      </c>
      <c r="K15" s="6" t="n">
        <v>36</v>
      </c>
    </row>
    <row r="16">
      <c r="A16" s="5" t="inlineStr">
        <is>
          <t>2024年6月</t>
        </is>
      </c>
      <c r="B16" s="6" t="n">
        <v>9.4</v>
      </c>
      <c r="C16" s="6" t="n">
        <v>14</v>
      </c>
      <c r="D16" s="6" t="n">
        <v>17</v>
      </c>
      <c r="E16" s="6" t="n">
        <v>11.8</v>
      </c>
      <c r="F16" s="6" t="n">
        <v>21</v>
      </c>
      <c r="G16" s="6" t="n">
        <v>10.8</v>
      </c>
      <c r="H16" s="6" t="n">
        <v>19</v>
      </c>
      <c r="I16" s="6" t="n">
        <v>21.8</v>
      </c>
      <c r="J16" s="6" t="n">
        <v>37</v>
      </c>
      <c r="K16" s="6" t="n">
        <v>39</v>
      </c>
    </row>
  </sheetData>
  <mergeCells count="4">
    <mergeCell ref="G1:H1"/>
    <mergeCell ref="B1:D1"/>
    <mergeCell ref="E1:F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14" customWidth="1" min="4" max="4"/>
  </cols>
  <sheetData>
    <row r="1">
      <c r="A1" s="16" t="inlineStr">
        <is>
          <t>月份</t>
        </is>
      </c>
      <c r="B1" s="16" t="inlineStr">
        <is>
          <t>順位</t>
        </is>
      </c>
      <c r="C1" s="16" t="inlineStr">
        <is>
          <t>メーカー</t>
        </is>
      </c>
      <c r="D1" s="16" t="inlineStr">
        <is>
          <t>出口辆数</t>
        </is>
      </c>
    </row>
    <row r="2">
      <c r="A2" s="17" t="inlineStr">
        <is>
          <t>2023年6月</t>
        </is>
      </c>
      <c r="B2" s="17" t="n">
        <v>1</v>
      </c>
      <c r="C2" s="17" t="inlineStr">
        <is>
          <t>上汽乘用車</t>
        </is>
      </c>
      <c r="D2" s="18" t="n">
        <v>20645</v>
      </c>
    </row>
    <row r="3">
      <c r="A3" s="17" t="inlineStr">
        <is>
          <t>2023年6月</t>
        </is>
      </c>
      <c r="B3" s="17" t="n">
        <v>2</v>
      </c>
      <c r="C3" s="17" t="inlineStr">
        <is>
          <t>特斯拉中国</t>
        </is>
      </c>
      <c r="D3" s="18" t="n">
        <v>19468</v>
      </c>
    </row>
    <row r="4">
      <c r="A4" s="17" t="inlineStr">
        <is>
          <t>2023年6月</t>
        </is>
      </c>
      <c r="B4" s="17" t="n">
        <v>3</v>
      </c>
      <c r="C4" s="17" t="inlineStr">
        <is>
          <t>比亜迪</t>
        </is>
      </c>
      <c r="D4" s="18" t="n">
        <v>10536</v>
      </c>
    </row>
    <row r="5">
      <c r="A5" s="17" t="inlineStr">
        <is>
          <t>2023年6月</t>
        </is>
      </c>
      <c r="B5" s="17" t="n">
        <v>4</v>
      </c>
      <c r="C5" s="17" t="inlineStr">
        <is>
          <t>易捷特</t>
        </is>
      </c>
      <c r="D5" s="18" t="n">
        <v>4472</v>
      </c>
    </row>
    <row r="6">
      <c r="A6" s="17" t="inlineStr">
        <is>
          <t>2023年6月</t>
        </is>
      </c>
      <c r="B6" s="17" t="n">
        <v>5</v>
      </c>
      <c r="C6" s="17" t="inlineStr">
        <is>
          <t>上汽通用五菱</t>
        </is>
      </c>
      <c r="D6" s="18" t="n">
        <v>2933</v>
      </c>
    </row>
    <row r="7">
      <c r="A7" s="17" t="inlineStr">
        <is>
          <t>2023年6月</t>
        </is>
      </c>
      <c r="B7" s="17" t="n">
        <v>6</v>
      </c>
      <c r="C7" s="17" t="inlineStr">
        <is>
          <t>智馬達汽車</t>
        </is>
      </c>
      <c r="D7" s="18" t="n">
        <v>2121</v>
      </c>
    </row>
    <row r="8">
      <c r="A8" s="17" t="inlineStr">
        <is>
          <t>2023年6月</t>
        </is>
      </c>
      <c r="B8" s="17" t="n">
        <v>7</v>
      </c>
      <c r="C8" s="17" t="inlineStr">
        <is>
          <t>長城汽車</t>
        </is>
      </c>
      <c r="D8" s="18" t="n">
        <v>1972</v>
      </c>
    </row>
    <row r="9">
      <c r="A9" s="17" t="inlineStr">
        <is>
          <t>2023年6月</t>
        </is>
      </c>
      <c r="B9" s="17" t="n">
        <v>8</v>
      </c>
      <c r="C9" s="17" t="inlineStr">
        <is>
          <t>吉利汽車</t>
        </is>
      </c>
      <c r="D9" s="18" t="n">
        <v>1670</v>
      </c>
    </row>
    <row r="10">
      <c r="A10" s="17" t="inlineStr">
        <is>
          <t>2023年6月</t>
        </is>
      </c>
      <c r="B10" s="17" t="n">
        <v>9</v>
      </c>
      <c r="C10" s="17" t="inlineStr">
        <is>
          <t>奇瑞汽車</t>
        </is>
      </c>
      <c r="D10" s="18" t="n">
        <v>1208</v>
      </c>
    </row>
    <row r="11">
      <c r="A11" s="17" t="inlineStr">
        <is>
          <t>2023年6月</t>
        </is>
      </c>
      <c r="B11" s="17" t="n">
        <v>10</v>
      </c>
      <c r="C11" s="17" t="inlineStr">
        <is>
          <t>哪吒汽車</t>
        </is>
      </c>
      <c r="D11" s="18" t="n">
        <v>1201</v>
      </c>
    </row>
    <row r="12">
      <c r="A12" s="17" t="inlineStr">
        <is>
          <t>2023年7月</t>
        </is>
      </c>
      <c r="B12" s="17" t="n">
        <v>1</v>
      </c>
      <c r="C12" s="17" t="inlineStr">
        <is>
          <t>特斯拉中国</t>
        </is>
      </c>
      <c r="D12" s="18" t="n">
        <v>32862</v>
      </c>
    </row>
    <row r="13">
      <c r="A13" s="17" t="inlineStr">
        <is>
          <t>2023年7月</t>
        </is>
      </c>
      <c r="B13" s="17" t="n">
        <v>2</v>
      </c>
      <c r="C13" s="17" t="inlineStr">
        <is>
          <t>比亜迪</t>
        </is>
      </c>
      <c r="D13" s="18" t="n">
        <v>18169</v>
      </c>
    </row>
    <row r="14">
      <c r="A14" s="17" t="inlineStr">
        <is>
          <t>2023年7月</t>
        </is>
      </c>
      <c r="B14" s="17" t="n">
        <v>3</v>
      </c>
      <c r="C14" s="17" t="inlineStr">
        <is>
          <t>上汽乘用車</t>
        </is>
      </c>
      <c r="D14" s="18" t="n">
        <v>17724</v>
      </c>
    </row>
    <row r="15">
      <c r="A15" s="17" t="inlineStr">
        <is>
          <t>2023年7月</t>
        </is>
      </c>
      <c r="B15" s="17" t="n">
        <v>4</v>
      </c>
      <c r="C15" s="17" t="inlineStr">
        <is>
          <t>上汽通用五菱</t>
        </is>
      </c>
      <c r="D15" s="18" t="n">
        <v>6674</v>
      </c>
    </row>
    <row r="16">
      <c r="A16" s="17" t="inlineStr">
        <is>
          <t>2023年7月</t>
        </is>
      </c>
      <c r="B16" s="17" t="n">
        <v>5</v>
      </c>
      <c r="C16" s="17" t="inlineStr">
        <is>
          <t>東風易捷特</t>
        </is>
      </c>
      <c r="D16" s="18" t="n">
        <v>6119</v>
      </c>
    </row>
    <row r="17">
      <c r="A17" s="17" t="inlineStr">
        <is>
          <t>2023年7月</t>
        </is>
      </c>
      <c r="B17" s="17" t="n">
        <v>6</v>
      </c>
      <c r="C17" s="17" t="inlineStr">
        <is>
          <t>長城汽車</t>
        </is>
      </c>
      <c r="D17" s="18" t="n">
        <v>2391</v>
      </c>
    </row>
    <row r="18">
      <c r="A18" s="17" t="inlineStr">
        <is>
          <t>2023年7月</t>
        </is>
      </c>
      <c r="B18" s="17" t="n">
        <v>7</v>
      </c>
      <c r="C18" s="17" t="inlineStr">
        <is>
          <t>吉利汽車</t>
        </is>
      </c>
      <c r="D18" s="18" t="n">
        <v>2280</v>
      </c>
    </row>
    <row r="19">
      <c r="A19" s="17" t="inlineStr">
        <is>
          <t>2023年8月</t>
        </is>
      </c>
      <c r="B19" s="17" t="n">
        <v>1</v>
      </c>
      <c r="C19" s="17" t="inlineStr">
        <is>
          <t>比亜迪</t>
        </is>
      </c>
      <c r="D19" s="18" t="n">
        <v>25023</v>
      </c>
    </row>
    <row r="20">
      <c r="A20" s="17" t="inlineStr">
        <is>
          <t>2023年8月</t>
        </is>
      </c>
      <c r="B20" s="17" t="n">
        <v>2</v>
      </c>
      <c r="C20" s="17" t="inlineStr">
        <is>
          <t>特斯拉中国</t>
        </is>
      </c>
      <c r="D20" s="18" t="n">
        <v>19465</v>
      </c>
    </row>
    <row r="21">
      <c r="A21" s="17" t="inlineStr">
        <is>
          <t>2023年8月</t>
        </is>
      </c>
      <c r="B21" s="17" t="n">
        <v>3</v>
      </c>
      <c r="C21" s="17" t="inlineStr">
        <is>
          <t>上汽乘用車</t>
        </is>
      </c>
      <c r="D21" s="18" t="n">
        <v>18677</v>
      </c>
    </row>
    <row r="22">
      <c r="A22" s="17" t="inlineStr">
        <is>
          <t>2023年8月</t>
        </is>
      </c>
      <c r="B22" s="17" t="n">
        <v>4</v>
      </c>
      <c r="C22" s="17" t="inlineStr">
        <is>
          <t>上汽通用五菱</t>
        </is>
      </c>
      <c r="D22" s="18" t="n">
        <v>3380</v>
      </c>
    </row>
    <row r="23">
      <c r="A23" s="17" t="inlineStr">
        <is>
          <t>2023年8月</t>
        </is>
      </c>
      <c r="B23" s="17" t="n">
        <v>5</v>
      </c>
      <c r="C23" s="17" t="inlineStr">
        <is>
          <t>東風易捷特</t>
        </is>
      </c>
      <c r="D23" s="18" t="n">
        <v>3281</v>
      </c>
    </row>
    <row r="24">
      <c r="A24" s="17" t="inlineStr">
        <is>
          <t>2023年8月</t>
        </is>
      </c>
      <c r="B24" s="17" t="n">
        <v>6</v>
      </c>
      <c r="C24" s="17" t="inlineStr">
        <is>
          <t>長城汽車</t>
        </is>
      </c>
      <c r="D24" s="18" t="n">
        <v>2947</v>
      </c>
    </row>
    <row r="25">
      <c r="A25" s="17" t="inlineStr">
        <is>
          <t>2023年8月</t>
        </is>
      </c>
      <c r="B25" s="17" t="n">
        <v>7</v>
      </c>
      <c r="C25" s="17" t="inlineStr">
        <is>
          <t>吉利汽車</t>
        </is>
      </c>
      <c r="D25" s="18" t="n">
        <v>1155</v>
      </c>
    </row>
    <row r="26">
      <c r="A26" s="17" t="inlineStr">
        <is>
          <t>2023年9月</t>
        </is>
      </c>
      <c r="B26" s="17" t="n">
        <v>1</v>
      </c>
      <c r="C26" s="17" t="inlineStr">
        <is>
          <t>特斯拉中国</t>
        </is>
      </c>
      <c r="D26" s="18" t="n">
        <v>30566</v>
      </c>
    </row>
    <row r="27">
      <c r="A27" s="17" t="inlineStr">
        <is>
          <t>2023年9月</t>
        </is>
      </c>
      <c r="B27" s="17" t="n">
        <v>2</v>
      </c>
      <c r="C27" s="17" t="inlineStr">
        <is>
          <t>比亜迪</t>
        </is>
      </c>
      <c r="D27" s="18" t="n">
        <v>28039</v>
      </c>
    </row>
    <row r="28">
      <c r="A28" s="17" t="inlineStr">
        <is>
          <t>2023年9月</t>
        </is>
      </c>
      <c r="B28" s="17" t="n">
        <v>3</v>
      </c>
      <c r="C28" s="17" t="inlineStr">
        <is>
          <t>上汽乘用車</t>
        </is>
      </c>
      <c r="D28" s="18" t="n">
        <v>12678</v>
      </c>
    </row>
    <row r="29">
      <c r="A29" s="17" t="inlineStr">
        <is>
          <t>2023年9月</t>
        </is>
      </c>
      <c r="B29" s="17" t="n">
        <v>4</v>
      </c>
      <c r="C29" s="17" t="inlineStr">
        <is>
          <t>吉利汽車</t>
        </is>
      </c>
      <c r="D29" s="18" t="n">
        <v>5026</v>
      </c>
    </row>
    <row r="30">
      <c r="A30" s="17" t="inlineStr">
        <is>
          <t>2023年9月</t>
        </is>
      </c>
      <c r="B30" s="17" t="n">
        <v>5</v>
      </c>
      <c r="C30" s="17" t="inlineStr">
        <is>
          <t>東風乘用車</t>
        </is>
      </c>
      <c r="D30" s="18" t="n">
        <v>4028</v>
      </c>
    </row>
    <row r="31">
      <c r="A31" s="17" t="inlineStr">
        <is>
          <t>2023年9月</t>
        </is>
      </c>
      <c r="B31" s="17" t="n">
        <v>6</v>
      </c>
      <c r="C31" s="17" t="inlineStr">
        <is>
          <t>智馬達汽車</t>
        </is>
      </c>
      <c r="D31" s="18" t="n">
        <v>2146</v>
      </c>
    </row>
    <row r="32">
      <c r="A32" s="17" t="inlineStr">
        <is>
          <t>2023年9月</t>
        </is>
      </c>
      <c r="B32" s="17" t="n">
        <v>7</v>
      </c>
      <c r="C32" s="17" t="inlineStr">
        <is>
          <t>哪吒汽車</t>
        </is>
      </c>
      <c r="D32" s="18" t="n">
        <v>1473</v>
      </c>
    </row>
    <row r="33">
      <c r="A33" s="17" t="inlineStr">
        <is>
          <t>2023年9月</t>
        </is>
      </c>
      <c r="B33" s="17" t="n">
        <v>8</v>
      </c>
      <c r="C33" s="17" t="inlineStr">
        <is>
          <t>創維汽車</t>
        </is>
      </c>
      <c r="D33" s="18" t="n">
        <v>1420</v>
      </c>
    </row>
    <row r="34">
      <c r="A34" s="17" t="inlineStr">
        <is>
          <t>2023年10月</t>
        </is>
      </c>
      <c r="B34" s="17" t="n">
        <v>1</v>
      </c>
      <c r="C34" s="17" t="inlineStr">
        <is>
          <t>特斯拉中国</t>
        </is>
      </c>
      <c r="D34" s="18" t="n">
        <v>43489</v>
      </c>
    </row>
    <row r="35">
      <c r="A35" s="17" t="inlineStr">
        <is>
          <t>2023年10月</t>
        </is>
      </c>
      <c r="B35" s="17" t="n">
        <v>2</v>
      </c>
      <c r="C35" s="17" t="inlineStr">
        <is>
          <t>比亜迪</t>
        </is>
      </c>
      <c r="D35" s="18" t="n">
        <v>30521</v>
      </c>
    </row>
    <row r="36">
      <c r="A36" s="17" t="inlineStr">
        <is>
          <t>2023年10月</t>
        </is>
      </c>
      <c r="B36" s="17" t="n">
        <v>3</v>
      </c>
      <c r="C36" s="17" t="inlineStr">
        <is>
          <t>上汽乘用車</t>
        </is>
      </c>
      <c r="D36" s="18" t="n">
        <v>14550</v>
      </c>
    </row>
    <row r="37">
      <c r="A37" s="17" t="inlineStr">
        <is>
          <t>2023年10月</t>
        </is>
      </c>
      <c r="B37" s="17" t="n">
        <v>4</v>
      </c>
      <c r="C37" s="17" t="inlineStr">
        <is>
          <t>智馬達汽車</t>
        </is>
      </c>
      <c r="D37" s="18" t="n">
        <v>4750</v>
      </c>
    </row>
    <row r="38">
      <c r="A38" s="17" t="inlineStr">
        <is>
          <t>2023年10月</t>
        </is>
      </c>
      <c r="B38" s="17" t="n">
        <v>5</v>
      </c>
      <c r="C38" s="17" t="inlineStr">
        <is>
          <t>東風本田</t>
        </is>
      </c>
      <c r="D38" s="18" t="n">
        <v>4614</v>
      </c>
    </row>
    <row r="39">
      <c r="A39" s="17" t="inlineStr">
        <is>
          <t>2023年10月</t>
        </is>
      </c>
      <c r="B39" s="17" t="n">
        <v>6</v>
      </c>
      <c r="C39" s="17" t="inlineStr">
        <is>
          <t>吉利汽車</t>
        </is>
      </c>
      <c r="D39" s="18" t="n">
        <v>2112</v>
      </c>
    </row>
    <row r="40">
      <c r="A40" s="17" t="inlineStr">
        <is>
          <t>2023年10月</t>
        </is>
      </c>
      <c r="B40" s="17" t="n">
        <v>7</v>
      </c>
      <c r="C40" s="17" t="inlineStr">
        <is>
          <t>哪吒汽車</t>
        </is>
      </c>
      <c r="D40" s="18" t="n">
        <v>2028</v>
      </c>
    </row>
    <row r="41">
      <c r="A41" s="17" t="inlineStr">
        <is>
          <t>2023年10月</t>
        </is>
      </c>
      <c r="B41" s="17" t="n">
        <v>8</v>
      </c>
      <c r="C41" s="17" t="inlineStr">
        <is>
          <t>創維汽車</t>
        </is>
      </c>
      <c r="D41" s="18" t="n">
        <v>1726</v>
      </c>
    </row>
    <row r="42">
      <c r="A42" s="17" t="inlineStr">
        <is>
          <t>2023年10月</t>
        </is>
      </c>
      <c r="B42" s="17" t="n">
        <v>9</v>
      </c>
      <c r="C42" s="17" t="inlineStr">
        <is>
          <t>長城汽車</t>
        </is>
      </c>
      <c r="D42" s="18" t="n">
        <v>1554</v>
      </c>
    </row>
    <row r="43">
      <c r="A43" s="17" t="inlineStr">
        <is>
          <t>2023年11月</t>
        </is>
      </c>
      <c r="B43" s="17" t="n">
        <v>1</v>
      </c>
      <c r="C43" s="17" t="inlineStr">
        <is>
          <t>比亜迪</t>
        </is>
      </c>
      <c r="D43" s="18" t="n">
        <v>30629</v>
      </c>
    </row>
    <row r="44">
      <c r="A44" s="17" t="inlineStr">
        <is>
          <t>2023年11月</t>
        </is>
      </c>
      <c r="B44" s="17" t="n">
        <v>2</v>
      </c>
      <c r="C44" s="17" t="inlineStr">
        <is>
          <t>上汽乘用車</t>
        </is>
      </c>
      <c r="D44" s="18" t="n">
        <v>17841</v>
      </c>
    </row>
    <row r="45">
      <c r="A45" s="17" t="inlineStr">
        <is>
          <t>2023年11月</t>
        </is>
      </c>
      <c r="B45" s="17" t="n">
        <v>3</v>
      </c>
      <c r="C45" s="17" t="inlineStr">
        <is>
          <t>特斯拉中国</t>
        </is>
      </c>
      <c r="D45" s="18" t="n">
        <v>16928</v>
      </c>
    </row>
    <row r="46">
      <c r="A46" s="17" t="inlineStr">
        <is>
          <t>2023年11月</t>
        </is>
      </c>
      <c r="B46" s="17" t="n">
        <v>4</v>
      </c>
      <c r="C46" s="17" t="inlineStr">
        <is>
          <t>智馬達汽車</t>
        </is>
      </c>
      <c r="D46" s="18" t="n">
        <v>4800</v>
      </c>
    </row>
    <row r="47">
      <c r="A47" s="17" t="inlineStr">
        <is>
          <t>2023年11月</t>
        </is>
      </c>
      <c r="B47" s="17" t="n">
        <v>5</v>
      </c>
      <c r="C47" s="17" t="inlineStr">
        <is>
          <t>哪吒汽車</t>
        </is>
      </c>
      <c r="D47" s="18" t="n">
        <v>2440</v>
      </c>
    </row>
    <row r="48">
      <c r="A48" s="17" t="inlineStr">
        <is>
          <t>2023年11月</t>
        </is>
      </c>
      <c r="B48" s="17" t="n">
        <v>6</v>
      </c>
      <c r="C48" s="17" t="inlineStr">
        <is>
          <t>長城汽車</t>
        </is>
      </c>
      <c r="D48" s="18" t="n">
        <v>2229</v>
      </c>
    </row>
    <row r="49">
      <c r="A49" s="17" t="inlineStr">
        <is>
          <t>2023年12月</t>
        </is>
      </c>
      <c r="B49" s="17" t="n">
        <v>1</v>
      </c>
      <c r="C49" s="17" t="inlineStr">
        <is>
          <t>比亜迪</t>
        </is>
      </c>
      <c r="D49" s="18" t="n">
        <v>36095</v>
      </c>
    </row>
    <row r="50">
      <c r="A50" s="17" t="inlineStr">
        <is>
          <t>2023年12月</t>
        </is>
      </c>
      <c r="B50" s="17" t="n">
        <v>2</v>
      </c>
      <c r="C50" s="17" t="inlineStr">
        <is>
          <t>上汽乘用車</t>
        </is>
      </c>
      <c r="D50" s="18" t="n">
        <v>19427</v>
      </c>
    </row>
    <row r="51">
      <c r="A51" s="17" t="inlineStr">
        <is>
          <t>2023年12月</t>
        </is>
      </c>
      <c r="B51" s="17" t="n">
        <v>3</v>
      </c>
      <c r="C51" s="17" t="inlineStr">
        <is>
          <t>特斯拉中国</t>
        </is>
      </c>
      <c r="D51" s="18" t="n">
        <v>18334</v>
      </c>
    </row>
    <row r="52">
      <c r="A52" s="17" t="inlineStr">
        <is>
          <t>2023年12月</t>
        </is>
      </c>
      <c r="B52" s="17" t="n">
        <v>4</v>
      </c>
      <c r="C52" s="17" t="inlineStr">
        <is>
          <t>上汽通用五菱</t>
        </is>
      </c>
      <c r="D52" s="18" t="n">
        <v>4898</v>
      </c>
    </row>
    <row r="53">
      <c r="A53" s="17" t="inlineStr">
        <is>
          <t>2023年12月</t>
        </is>
      </c>
      <c r="B53" s="17" t="n">
        <v>5</v>
      </c>
      <c r="C53" s="17" t="inlineStr">
        <is>
          <t>哪吒汽車</t>
        </is>
      </c>
      <c r="D53" s="18" t="n">
        <v>3002</v>
      </c>
    </row>
    <row r="54">
      <c r="A54" s="17" t="inlineStr">
        <is>
          <t>2023年12月</t>
        </is>
      </c>
      <c r="B54" s="17" t="n">
        <v>6</v>
      </c>
      <c r="C54" s="17" t="inlineStr">
        <is>
          <t>長安汽車</t>
        </is>
      </c>
      <c r="D54" s="18" t="n">
        <v>2815</v>
      </c>
    </row>
    <row r="55">
      <c r="A55" s="17" t="inlineStr">
        <is>
          <t>2023年12月</t>
        </is>
      </c>
      <c r="B55" s="17" t="n">
        <v>7</v>
      </c>
      <c r="C55" s="17" t="inlineStr">
        <is>
          <t>智馬達汽車</t>
        </is>
      </c>
      <c r="D55" s="18" t="n">
        <v>2454</v>
      </c>
    </row>
    <row r="56">
      <c r="A56" s="17" t="inlineStr">
        <is>
          <t>2024年2月</t>
        </is>
      </c>
      <c r="B56" s="17" t="n">
        <v>1</v>
      </c>
      <c r="C56" s="17" t="inlineStr">
        <is>
          <t>特斯拉中国</t>
        </is>
      </c>
      <c r="D56" s="18" t="n">
        <v>30224</v>
      </c>
    </row>
    <row r="57">
      <c r="A57" s="17" t="inlineStr">
        <is>
          <t>2024年2月</t>
        </is>
      </c>
      <c r="B57" s="17" t="n">
        <v>2</v>
      </c>
      <c r="C57" s="17" t="inlineStr">
        <is>
          <t>比亜迪</t>
        </is>
      </c>
      <c r="D57" s="18" t="n">
        <v>23291</v>
      </c>
    </row>
    <row r="58">
      <c r="A58" s="17" t="inlineStr">
        <is>
          <t>2024年2月</t>
        </is>
      </c>
      <c r="B58" s="17" t="n">
        <v>3</v>
      </c>
      <c r="C58" s="17" t="inlineStr">
        <is>
          <t>上汽通用五菱</t>
        </is>
      </c>
      <c r="D58" s="18" t="n">
        <v>2872</v>
      </c>
    </row>
    <row r="59">
      <c r="A59" s="17" t="inlineStr">
        <is>
          <t>2024年2月</t>
        </is>
      </c>
      <c r="B59" s="17" t="n">
        <v>4</v>
      </c>
      <c r="C59" s="17" t="inlineStr">
        <is>
          <t>上汽乘用車</t>
        </is>
      </c>
      <c r="D59" s="18" t="n">
        <v>2407</v>
      </c>
    </row>
    <row r="60">
      <c r="A60" s="17" t="inlineStr">
        <is>
          <t>2024年2月</t>
        </is>
      </c>
      <c r="B60" s="17" t="n">
        <v>5</v>
      </c>
      <c r="C60" s="17" t="inlineStr">
        <is>
          <t>奇瑞汽車</t>
        </is>
      </c>
      <c r="D60" s="18" t="n">
        <v>2387</v>
      </c>
    </row>
    <row r="61">
      <c r="A61" s="17" t="inlineStr">
        <is>
          <t>2024年2月</t>
        </is>
      </c>
      <c r="B61" s="17" t="n">
        <v>6</v>
      </c>
      <c r="C61" s="17" t="inlineStr">
        <is>
          <t>智馬達汽車</t>
        </is>
      </c>
      <c r="D61" s="18" t="n">
        <v>2220</v>
      </c>
    </row>
    <row r="62">
      <c r="A62" s="17" t="inlineStr">
        <is>
          <t>2024年2月</t>
        </is>
      </c>
      <c r="B62" s="17" t="n">
        <v>7</v>
      </c>
      <c r="C62" s="17" t="inlineStr">
        <is>
          <t>吉利汽車</t>
        </is>
      </c>
      <c r="D62" s="18" t="n">
        <v>2144</v>
      </c>
    </row>
    <row r="63">
      <c r="A63" s="17" t="inlineStr">
        <is>
          <t>2024年2月</t>
        </is>
      </c>
      <c r="B63" s="17" t="n">
        <v>8</v>
      </c>
      <c r="C63" s="17" t="inlineStr">
        <is>
          <t>哪吒汽車</t>
        </is>
      </c>
      <c r="D63" s="18" t="n">
        <v>1695</v>
      </c>
    </row>
    <row r="64">
      <c r="A64" s="17" t="inlineStr">
        <is>
          <t>2024年2月</t>
        </is>
      </c>
      <c r="B64" s="17" t="n">
        <v>9</v>
      </c>
      <c r="C64" s="17" t="inlineStr">
        <is>
          <t>長安汽車</t>
        </is>
      </c>
      <c r="D64" s="18" t="n">
        <v>1486</v>
      </c>
    </row>
    <row r="65">
      <c r="A65" s="17" t="inlineStr">
        <is>
          <t>2024年3月</t>
        </is>
      </c>
      <c r="B65" s="17" t="n">
        <v>1</v>
      </c>
      <c r="C65" s="17" t="inlineStr">
        <is>
          <t>比亜迪</t>
        </is>
      </c>
      <c r="D65" s="18" t="n">
        <v>38434</v>
      </c>
    </row>
    <row r="66">
      <c r="A66" s="17" t="inlineStr">
        <is>
          <t>2024年3月</t>
        </is>
      </c>
      <c r="B66" s="17" t="n">
        <v>2</v>
      </c>
      <c r="C66" s="17" t="inlineStr">
        <is>
          <t>特斯拉中国</t>
        </is>
      </c>
      <c r="D66" s="18" t="n">
        <v>26666</v>
      </c>
    </row>
    <row r="67">
      <c r="A67" s="17" t="inlineStr">
        <is>
          <t>2024年3月</t>
        </is>
      </c>
      <c r="B67" s="17" t="n">
        <v>3</v>
      </c>
      <c r="C67" s="17" t="inlineStr">
        <is>
          <t>上汽乗用車</t>
        </is>
      </c>
      <c r="D67" s="18" t="n">
        <v>18612</v>
      </c>
    </row>
    <row r="68">
      <c r="A68" s="17" t="inlineStr">
        <is>
          <t>2024年3月</t>
        </is>
      </c>
      <c r="B68" s="17" t="n">
        <v>4</v>
      </c>
      <c r="C68" s="17" t="inlineStr">
        <is>
          <t>奇瑞汽車</t>
        </is>
      </c>
      <c r="D68" s="18" t="n">
        <v>5403</v>
      </c>
    </row>
    <row r="69">
      <c r="A69" s="17" t="inlineStr">
        <is>
          <t>2024年3月</t>
        </is>
      </c>
      <c r="B69" s="17" t="n">
        <v>5</v>
      </c>
      <c r="C69" s="17" t="inlineStr">
        <is>
          <t>哪吒汽車</t>
        </is>
      </c>
      <c r="D69" s="18" t="n">
        <v>4188</v>
      </c>
    </row>
    <row r="70">
      <c r="A70" s="17" t="inlineStr">
        <is>
          <t>2024年3月</t>
        </is>
      </c>
      <c r="B70" s="17" t="n">
        <v>6</v>
      </c>
      <c r="C70" s="17" t="inlineStr">
        <is>
          <t>華晨宝馬</t>
        </is>
      </c>
      <c r="D70" s="18" t="n">
        <v>3196</v>
      </c>
    </row>
    <row r="71">
      <c r="A71" s="17" t="inlineStr">
        <is>
          <t>2024年3月</t>
        </is>
      </c>
      <c r="B71" s="17" t="n">
        <v>7</v>
      </c>
      <c r="C71" s="17" t="inlineStr">
        <is>
          <t>吉利汽車</t>
        </is>
      </c>
      <c r="D71" s="18" t="n">
        <v>2989</v>
      </c>
    </row>
    <row r="72">
      <c r="A72" s="17" t="inlineStr">
        <is>
          <t>2024年3月</t>
        </is>
      </c>
      <c r="B72" s="17" t="n">
        <v>8</v>
      </c>
      <c r="C72" s="17" t="inlineStr">
        <is>
          <t>長安汽車</t>
        </is>
      </c>
      <c r="D72" s="18" t="n">
        <v>2399</v>
      </c>
    </row>
    <row r="73">
      <c r="A73" s="17" t="inlineStr">
        <is>
          <t>2024年4月</t>
        </is>
      </c>
      <c r="B73" s="17" t="n">
        <v>1</v>
      </c>
      <c r="C73" s="17" t="inlineStr">
        <is>
          <t>比亜迪</t>
        </is>
      </c>
      <c r="D73" s="18" t="n">
        <v>41011</v>
      </c>
    </row>
    <row r="74">
      <c r="A74" s="17" t="inlineStr">
        <is>
          <t>2024年4月</t>
        </is>
      </c>
      <c r="B74" s="17" t="n">
        <v>2</v>
      </c>
      <c r="C74" s="17" t="inlineStr">
        <is>
          <t>特斯拉中国</t>
        </is>
      </c>
      <c r="D74" s="18" t="n">
        <v>30746</v>
      </c>
    </row>
    <row r="75">
      <c r="A75" s="17" t="inlineStr">
        <is>
          <t>2024年4月</t>
        </is>
      </c>
      <c r="B75" s="17" t="n">
        <v>3</v>
      </c>
      <c r="C75" s="17" t="inlineStr">
        <is>
          <t>上汽乗用車</t>
        </is>
      </c>
      <c r="D75" s="18" t="n">
        <v>6048</v>
      </c>
    </row>
    <row r="76">
      <c r="A76" s="17" t="inlineStr">
        <is>
          <t>2024年4月</t>
        </is>
      </c>
      <c r="B76" s="17" t="n">
        <v>4</v>
      </c>
      <c r="C76" s="17" t="inlineStr">
        <is>
          <t>哪吒汽車</t>
        </is>
      </c>
      <c r="D76" s="18" t="n">
        <v>4990</v>
      </c>
    </row>
    <row r="77">
      <c r="A77" s="17" t="inlineStr">
        <is>
          <t>2024年4月</t>
        </is>
      </c>
      <c r="B77" s="17" t="n">
        <v>5</v>
      </c>
      <c r="C77" s="17" t="inlineStr">
        <is>
          <t>奇瑞汽車</t>
        </is>
      </c>
      <c r="D77" s="18" t="n">
        <v>4310</v>
      </c>
    </row>
    <row r="78">
      <c r="A78" s="17" t="inlineStr">
        <is>
          <t>2024年4月</t>
        </is>
      </c>
      <c r="B78" s="17" t="n">
        <v>6</v>
      </c>
      <c r="C78" s="17" t="inlineStr">
        <is>
          <t>長安汽車</t>
        </is>
      </c>
      <c r="D78" s="18" t="n">
        <v>3186</v>
      </c>
    </row>
    <row r="79">
      <c r="A79" s="17" t="inlineStr">
        <is>
          <t>2024年5月</t>
        </is>
      </c>
      <c r="B79" s="17" t="n">
        <v>1</v>
      </c>
      <c r="C79" s="17" t="inlineStr">
        <is>
          <t>比亜迪</t>
        </is>
      </c>
      <c r="D79" s="18" t="n">
        <v>37499</v>
      </c>
    </row>
    <row r="80">
      <c r="A80" s="17" t="inlineStr">
        <is>
          <t>2024年5月</t>
        </is>
      </c>
      <c r="B80" s="17" t="n">
        <v>2</v>
      </c>
      <c r="C80" s="17" t="inlineStr">
        <is>
          <t>特斯拉中国</t>
        </is>
      </c>
      <c r="D80" s="18" t="n">
        <v>17358</v>
      </c>
    </row>
    <row r="81">
      <c r="A81" s="17" t="inlineStr">
        <is>
          <t>2024年5月</t>
        </is>
      </c>
      <c r="B81" s="17" t="n">
        <v>3</v>
      </c>
      <c r="C81" s="17" t="inlineStr">
        <is>
          <t>奇瑞汽車</t>
        </is>
      </c>
      <c r="D81" s="18" t="n">
        <v>7198</v>
      </c>
    </row>
    <row r="82">
      <c r="A82" s="17" t="inlineStr">
        <is>
          <t>2024年5月</t>
        </is>
      </c>
      <c r="B82" s="17" t="n">
        <v>4</v>
      </c>
      <c r="C82" s="17" t="inlineStr">
        <is>
          <t>上汽乗用車</t>
        </is>
      </c>
      <c r="D82" s="18" t="n">
        <v>6487</v>
      </c>
    </row>
    <row r="83">
      <c r="A83" s="17" t="inlineStr">
        <is>
          <t>2024年5月</t>
        </is>
      </c>
      <c r="B83" s="17" t="n">
        <v>5</v>
      </c>
      <c r="C83" s="17" t="inlineStr">
        <is>
          <t>長城汽車</t>
        </is>
      </c>
      <c r="D83" s="18" t="n">
        <v>2905</v>
      </c>
    </row>
    <row r="84">
      <c r="A84" s="17" t="inlineStr">
        <is>
          <t>2024年5月</t>
        </is>
      </c>
      <c r="B84" s="17" t="n">
        <v>6</v>
      </c>
      <c r="C84" s="17" t="inlineStr">
        <is>
          <t>哪吒汽車</t>
        </is>
      </c>
      <c r="D84" s="18" t="n">
        <v>2764</v>
      </c>
    </row>
    <row r="85">
      <c r="A85" s="17" t="inlineStr">
        <is>
          <t>2024年5月</t>
        </is>
      </c>
      <c r="B85" s="17" t="n">
        <v>7</v>
      </c>
      <c r="C85" s="17" t="inlineStr">
        <is>
          <t>吉利汽車</t>
        </is>
      </c>
      <c r="D85" s="18" t="n">
        <v>2501</v>
      </c>
    </row>
    <row r="86">
      <c r="A86" s="17" t="inlineStr">
        <is>
          <t>2024年5月</t>
        </is>
      </c>
      <c r="B86" s="17" t="n">
        <v>8</v>
      </c>
      <c r="C86" s="17" t="inlineStr">
        <is>
          <t>東風本田</t>
        </is>
      </c>
      <c r="D86" s="18" t="n">
        <v>2492</v>
      </c>
    </row>
    <row r="87">
      <c r="A87" s="17" t="inlineStr">
        <is>
          <t>2024年6月</t>
        </is>
      </c>
      <c r="B87" s="17" t="n">
        <v>1</v>
      </c>
      <c r="C87" s="17" t="inlineStr">
        <is>
          <t>比亜迪</t>
        </is>
      </c>
      <c r="D87" s="18" t="n">
        <v>26995</v>
      </c>
    </row>
    <row r="88">
      <c r="A88" s="17" t="inlineStr">
        <is>
          <t>2024年6月</t>
        </is>
      </c>
      <c r="B88" s="17" t="n">
        <v>2</v>
      </c>
      <c r="C88" s="17" t="inlineStr">
        <is>
          <t>特斯拉中国</t>
        </is>
      </c>
      <c r="D88" s="18" t="n">
        <v>11746</v>
      </c>
    </row>
    <row r="89">
      <c r="A89" s="17" t="inlineStr">
        <is>
          <t>2024年6月</t>
        </is>
      </c>
      <c r="B89" s="17" t="n">
        <v>3</v>
      </c>
      <c r="C89" s="17" t="inlineStr">
        <is>
          <t>上汽乗用車</t>
        </is>
      </c>
      <c r="D89" s="18" t="n">
        <v>6718</v>
      </c>
    </row>
    <row r="90">
      <c r="A90" s="17" t="inlineStr">
        <is>
          <t>2024年6月</t>
        </is>
      </c>
      <c r="B90" s="17" t="n">
        <v>4</v>
      </c>
      <c r="C90" s="17" t="inlineStr">
        <is>
          <t>長城汽車</t>
        </is>
      </c>
      <c r="D90" s="18" t="n">
        <v>3299</v>
      </c>
    </row>
    <row r="91">
      <c r="A91" s="17" t="inlineStr">
        <is>
          <t>2024年6月</t>
        </is>
      </c>
      <c r="B91" s="17" t="n">
        <v>5</v>
      </c>
      <c r="C91" s="17" t="inlineStr">
        <is>
          <t>華晨宝馬</t>
        </is>
      </c>
      <c r="D91" s="18" t="n">
        <v>3271</v>
      </c>
    </row>
    <row r="92">
      <c r="A92" s="17" t="inlineStr">
        <is>
          <t>2024年6月</t>
        </is>
      </c>
      <c r="B92" s="17" t="n">
        <v>6</v>
      </c>
      <c r="C92" s="17" t="inlineStr">
        <is>
          <t>奇瑞汽車</t>
        </is>
      </c>
      <c r="D92" s="18" t="n">
        <v>2826</v>
      </c>
    </row>
    <row r="93">
      <c r="A93" s="17" t="inlineStr">
        <is>
          <t>2024年6月</t>
        </is>
      </c>
      <c r="B93" s="17" t="n">
        <v>7</v>
      </c>
      <c r="C93" s="17" t="inlineStr">
        <is>
          <t>吉利汽車</t>
        </is>
      </c>
      <c r="D93" s="18" t="n">
        <v>2429</v>
      </c>
    </row>
    <row r="94">
      <c r="A94" s="17" t="inlineStr">
        <is>
          <t>2024年6月</t>
        </is>
      </c>
      <c r="B94" s="17" t="n">
        <v>8</v>
      </c>
      <c r="C94" s="17" t="inlineStr">
        <is>
          <t>上汽通用五菱</t>
        </is>
      </c>
      <c r="D94" s="18" t="n">
        <v>2410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>
      <c r="A1" s="16" t="inlineStr">
        <is>
          <t>期間</t>
        </is>
      </c>
      <c r="B1" s="16" t="inlineStr">
        <is>
          <t>収入(億元)</t>
        </is>
      </c>
      <c r="C1" s="16" t="inlineStr">
        <is>
          <t>同比%</t>
        </is>
      </c>
      <c r="D1" s="16" t="inlineStr">
        <is>
          <t>成本(億元)</t>
        </is>
      </c>
      <c r="E1" s="16" t="inlineStr">
        <is>
          <t>同比%</t>
        </is>
      </c>
      <c r="F1" s="16" t="inlineStr">
        <is>
          <t>利潤(億元)</t>
        </is>
      </c>
      <c r="G1" s="16" t="inlineStr">
        <is>
          <t>同比%</t>
        </is>
      </c>
      <c r="H1" s="16" t="inlineStr">
        <is>
          <t>利潤率%</t>
        </is>
      </c>
    </row>
    <row r="2">
      <c r="A2" s="5" t="inlineStr">
        <is>
          <t>2023年通年</t>
        </is>
      </c>
      <c r="B2" s="19" t="n">
        <v>100976</v>
      </c>
      <c r="C2" s="6" t="n">
        <v>12</v>
      </c>
      <c r="D2" s="19" t="n">
        <v>87627</v>
      </c>
      <c r="E2" s="6" t="n">
        <v>13</v>
      </c>
      <c r="F2" s="19" t="n">
        <v>5086</v>
      </c>
      <c r="G2" s="6" t="n">
        <v>5.9</v>
      </c>
      <c r="H2" s="6" t="n">
        <v>5</v>
      </c>
    </row>
    <row r="3">
      <c r="A3" s="5" t="inlineStr">
        <is>
          <t>2024年1-2月</t>
        </is>
      </c>
      <c r="B3" s="19" t="n">
        <v>13715</v>
      </c>
      <c r="C3" s="6" t="n">
        <v>8</v>
      </c>
      <c r="D3" s="19" t="n">
        <v>11991</v>
      </c>
      <c r="E3" s="6" t="n">
        <v>8</v>
      </c>
      <c r="F3" s="19" t="n">
        <v>587</v>
      </c>
      <c r="G3" s="6" t="n">
        <v>50</v>
      </c>
      <c r="H3" s="6" t="n">
        <v>4.3</v>
      </c>
    </row>
    <row r="4">
      <c r="A4" s="5" t="inlineStr">
        <is>
          <t>2024年1-3月</t>
        </is>
      </c>
      <c r="B4" s="19" t="n">
        <v>22483</v>
      </c>
      <c r="C4" s="6" t="n">
        <v>6</v>
      </c>
      <c r="D4" s="19" t="n">
        <v>19642</v>
      </c>
      <c r="E4" s="6" t="n">
        <v>6</v>
      </c>
      <c r="F4" s="19" t="n">
        <v>1040</v>
      </c>
      <c r="G4" s="6" t="n">
        <v>32</v>
      </c>
      <c r="H4" s="6" t="n">
        <v>4.6</v>
      </c>
    </row>
    <row r="5">
      <c r="A5" s="5" t="inlineStr">
        <is>
          <t>2024年1-4月</t>
        </is>
      </c>
      <c r="B5" s="19" t="n">
        <v>30742</v>
      </c>
      <c r="C5" s="6" t="n">
        <v>8</v>
      </c>
      <c r="D5" s="19" t="n">
        <v>26882</v>
      </c>
      <c r="E5" s="6" t="n">
        <v>8</v>
      </c>
      <c r="F5" s="19" t="n">
        <v>1428</v>
      </c>
      <c r="G5" s="6" t="n">
        <v>29</v>
      </c>
      <c r="H5" s="6" t="n">
        <v>4.6</v>
      </c>
    </row>
    <row r="6">
      <c r="A6" s="5" t="inlineStr">
        <is>
          <t>2024年1-5月</t>
        </is>
      </c>
      <c r="B6" s="19" t="n">
        <v>38966</v>
      </c>
      <c r="C6" s="6" t="n">
        <v>7</v>
      </c>
      <c r="D6" s="19" t="n">
        <v>34099</v>
      </c>
      <c r="E6" s="6" t="n">
        <v>7</v>
      </c>
      <c r="F6" s="19" t="n">
        <v>2047</v>
      </c>
      <c r="G6" s="6" t="n">
        <v>17.9</v>
      </c>
      <c r="H6" s="6" t="n">
        <v>5.3</v>
      </c>
    </row>
    <row r="7">
      <c r="A7" s="5" t="inlineStr">
        <is>
          <t>2024年通年</t>
        </is>
      </c>
      <c r="B7" s="19" t="n">
        <v>106470</v>
      </c>
      <c r="C7" s="6" t="n">
        <v>4</v>
      </c>
      <c r="D7" s="19" t="n">
        <v>93301</v>
      </c>
      <c r="E7" s="6" t="n">
        <v>5</v>
      </c>
      <c r="F7" s="19" t="n">
        <v>4623</v>
      </c>
      <c r="G7" s="6" t="n">
        <v>-8</v>
      </c>
      <c r="H7" s="6" t="n">
        <v>4.3</v>
      </c>
    </row>
    <row r="8">
      <c r="A8" s="5" t="inlineStr">
        <is>
          <t>2025年1-2月</t>
        </is>
      </c>
      <c r="B8" s="19" t="n">
        <v>14808</v>
      </c>
      <c r="C8" s="6" t="n">
        <v>8</v>
      </c>
      <c r="D8" s="19" t="n">
        <v>12977</v>
      </c>
      <c r="E8" s="6" t="n">
        <v>9</v>
      </c>
      <c r="F8" s="19" t="n">
        <v>620</v>
      </c>
      <c r="G8" s="6" t="n">
        <v>11.7</v>
      </c>
      <c r="H8" s="6" t="n">
        <v>4.3</v>
      </c>
    </row>
    <row r="9">
      <c r="A9" s="5" t="inlineStr">
        <is>
          <t>2025年1-3月</t>
        </is>
      </c>
      <c r="B9" s="19" t="n">
        <v>24022</v>
      </c>
      <c r="C9" s="6" t="n">
        <v>8</v>
      </c>
      <c r="D9" s="19" t="n">
        <v>21119</v>
      </c>
      <c r="E9" s="6" t="n">
        <v>9</v>
      </c>
      <c r="F9" s="19" t="n">
        <v>947</v>
      </c>
      <c r="G9" s="6" t="n">
        <v>-6</v>
      </c>
      <c r="H9" s="6" t="n">
        <v>3.9</v>
      </c>
    </row>
    <row r="10">
      <c r="A10" s="5" t="inlineStr">
        <is>
          <t>2025年1-4月</t>
        </is>
      </c>
      <c r="B10" s="19" t="n">
        <v>32552</v>
      </c>
      <c r="C10" s="6" t="n">
        <v>7</v>
      </c>
      <c r="D10" s="19" t="n">
        <v>28636</v>
      </c>
      <c r="E10" s="6" t="n">
        <v>8</v>
      </c>
      <c r="F10" s="19" t="n">
        <v>1326</v>
      </c>
      <c r="G10" s="6" t="n">
        <v>-5.1</v>
      </c>
      <c r="H10" s="6" t="n">
        <v>4.1</v>
      </c>
    </row>
    <row r="11">
      <c r="A11" s="5" t="inlineStr">
        <is>
          <t>2025年1-5月</t>
        </is>
      </c>
      <c r="B11" s="19" t="n">
        <v>41283</v>
      </c>
      <c r="C11" s="6" t="n">
        <v>7</v>
      </c>
      <c r="D11" s="19" t="n">
        <v>36351</v>
      </c>
      <c r="E11" s="6" t="n">
        <v>8</v>
      </c>
      <c r="F11" s="19" t="n">
        <v>1781</v>
      </c>
      <c r="G11" s="6" t="n">
        <v>-11.9</v>
      </c>
      <c r="H11" s="6" t="n">
        <v>4.3</v>
      </c>
    </row>
    <row r="12">
      <c r="A12" s="5" t="inlineStr">
        <is>
          <t>2025年1-6月</t>
        </is>
      </c>
      <c r="B12" s="19" t="n">
        <v>50917</v>
      </c>
      <c r="C12" s="6" t="n">
        <v>8</v>
      </c>
      <c r="D12" s="19" t="n">
        <v>44780</v>
      </c>
      <c r="E12" s="6" t="n">
        <v>9</v>
      </c>
      <c r="F12" s="19" t="n">
        <v>2444</v>
      </c>
      <c r="G12" s="6" t="n">
        <v>3.6</v>
      </c>
      <c r="H12" s="6" t="n">
        <v>4.8</v>
      </c>
    </row>
    <row r="13">
      <c r="A13" s="5" t="inlineStr">
        <is>
          <t>2025年1-7月</t>
        </is>
      </c>
      <c r="B13" s="19" t="n">
        <v>59193</v>
      </c>
      <c r="C13" s="6" t="n">
        <v>8</v>
      </c>
      <c r="D13" s="19" t="n">
        <v>52056</v>
      </c>
      <c r="E13" s="6" t="n">
        <v>8</v>
      </c>
      <c r="F13" s="19" t="n">
        <v>2737</v>
      </c>
      <c r="G13" s="6" t="n">
        <v>0.9</v>
      </c>
      <c r="H13" s="6" t="n">
        <v>4.6</v>
      </c>
    </row>
    <row r="14">
      <c r="A14" s="5" t="inlineStr">
        <is>
          <t>2025年1-8月</t>
        </is>
      </c>
      <c r="B14" s="19" t="n">
        <v>68049</v>
      </c>
      <c r="C14" s="6" t="n">
        <v>8</v>
      </c>
      <c r="D14" s="19" t="n">
        <v>59889</v>
      </c>
      <c r="E14" s="6" t="n">
        <v>8.199999999999999</v>
      </c>
      <c r="F14" s="19" t="n">
        <v>3035</v>
      </c>
      <c r="G14" s="6" t="n">
        <v>-0.3</v>
      </c>
      <c r="H14" s="6" t="n">
        <v>4.5</v>
      </c>
    </row>
    <row r="15">
      <c r="A15" s="5" t="inlineStr">
        <is>
          <t>2025年1-9月</t>
        </is>
      </c>
      <c r="B15" s="19" t="n">
        <v>78235</v>
      </c>
      <c r="C15" s="6" t="n">
        <v>7.8</v>
      </c>
      <c r="D15" s="19" t="n">
        <v>68867</v>
      </c>
      <c r="E15" s="6" t="n">
        <v>8.6</v>
      </c>
      <c r="F15" s="19" t="n">
        <v>3483</v>
      </c>
      <c r="G15" s="6" t="n">
        <v>3.4</v>
      </c>
      <c r="H15" s="6" t="n">
        <v>4.5</v>
      </c>
    </row>
    <row r="16">
      <c r="A16" s="5" t="inlineStr">
        <is>
          <t>2025年1-10月</t>
        </is>
      </c>
      <c r="B16" s="19" t="n">
        <v>88778</v>
      </c>
      <c r="C16" s="6" t="n">
        <v>7.9</v>
      </c>
      <c r="D16" s="19" t="n">
        <v>78243</v>
      </c>
      <c r="E16" s="6" t="n">
        <v>8.699999999999999</v>
      </c>
      <c r="F16" s="19" t="n">
        <v>3895</v>
      </c>
      <c r="G16" s="6" t="n">
        <v>4.4</v>
      </c>
      <c r="H16" s="6" t="n">
        <v>4.4</v>
      </c>
    </row>
    <row r="17">
      <c r="A17" s="5" t="inlineStr">
        <is>
          <t>2025年1-11月</t>
        </is>
      </c>
      <c r="B17" s="19" t="n">
        <v>100223</v>
      </c>
      <c r="C17" s="6" t="n">
        <v>8.1</v>
      </c>
      <c r="D17" s="19" t="n">
        <v>88405</v>
      </c>
      <c r="E17" s="6" t="n">
        <v>9</v>
      </c>
      <c r="F17" s="19" t="n">
        <v>4403</v>
      </c>
      <c r="G17" s="6" t="n">
        <v>7.5</v>
      </c>
      <c r="H17" s="6" t="n">
        <v>4.4</v>
      </c>
    </row>
    <row r="18">
      <c r="A18" s="5" t="inlineStr">
        <is>
          <t>2025年通年</t>
        </is>
      </c>
      <c r="B18" s="19" t="n">
        <v>111796</v>
      </c>
      <c r="C18" s="6" t="n">
        <v>7.1</v>
      </c>
      <c r="D18" s="19" t="n">
        <v>98498</v>
      </c>
      <c r="E18" s="6" t="n">
        <v>8.1</v>
      </c>
      <c r="F18" s="19" t="n">
        <v>4610</v>
      </c>
      <c r="G18" s="6" t="n">
        <v>0.6</v>
      </c>
      <c r="H18" s="6" t="n">
        <v>4.1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>
      <c r="A1" s="20" t="inlineStr">
        <is>
          <t>期間</t>
        </is>
      </c>
      <c r="B1" s="20" t="inlineStr">
        <is>
          <t>項目</t>
        </is>
      </c>
      <c r="C1" s="20" t="inlineStr">
        <is>
          <t>数値/辆数</t>
        </is>
      </c>
      <c r="D1" s="20" t="inlineStr">
        <is>
          <t>備考</t>
        </is>
      </c>
    </row>
    <row r="2">
      <c r="A2" s="21">
        <f>== 2024年3月 汽車出口 ===</f>
        <v/>
      </c>
      <c r="B2" s="17" t="inlineStr"/>
      <c r="C2" s="17" t="inlineStr"/>
      <c r="D2" s="17" t="inlineStr"/>
    </row>
    <row r="3">
      <c r="A3" s="17" t="inlineStr">
        <is>
          <t>2024年3月</t>
        </is>
      </c>
      <c r="B3" s="17" t="inlineStr">
        <is>
          <t>総出口</t>
        </is>
      </c>
      <c r="C3" s="17" t="inlineStr">
        <is>
          <t>49万辆</t>
        </is>
      </c>
      <c r="D3" s="17" t="inlineStr">
        <is>
          <t>同比+27%</t>
        </is>
      </c>
    </row>
    <row r="4">
      <c r="A4" s="17" t="inlineStr"/>
      <c r="B4" s="17" t="inlineStr">
        <is>
          <t>出口増量Top5</t>
        </is>
      </c>
      <c r="C4" s="17" t="inlineStr"/>
      <c r="D4" s="17" t="inlineStr"/>
    </row>
    <row r="5">
      <c r="A5" s="17" t="inlineStr"/>
      <c r="B5" s="17" t="inlineStr">
        <is>
          <t>巴西</t>
        </is>
      </c>
      <c r="C5" s="18" t="n">
        <v>23715</v>
      </c>
      <c r="D5" s="17" t="inlineStr">
        <is>
          <t>増量</t>
        </is>
      </c>
    </row>
    <row r="6">
      <c r="A6" s="17" t="inlineStr"/>
      <c r="B6" s="17" t="inlineStr">
        <is>
          <t>吉尔吉斯斯坦</t>
        </is>
      </c>
      <c r="C6" s="18" t="n">
        <v>13550</v>
      </c>
      <c r="D6" s="17" t="inlineStr">
        <is>
          <t>増量</t>
        </is>
      </c>
    </row>
    <row r="7">
      <c r="A7" s="17" t="inlineStr"/>
      <c r="B7" s="17" t="inlineStr">
        <is>
          <t>阿联酋</t>
        </is>
      </c>
      <c r="C7" s="18" t="n">
        <v>11129</v>
      </c>
      <c r="D7" s="17" t="inlineStr">
        <is>
          <t>増量</t>
        </is>
      </c>
    </row>
    <row r="8">
      <c r="A8" s="17" t="inlineStr"/>
      <c r="B8" s="17" t="inlineStr">
        <is>
          <t>土耳其</t>
        </is>
      </c>
      <c r="C8" s="18" t="n">
        <v>10419</v>
      </c>
      <c r="D8" s="17" t="inlineStr">
        <is>
          <t>増量</t>
        </is>
      </c>
    </row>
    <row r="9">
      <c r="A9" s="17" t="inlineStr"/>
      <c r="B9" s="17" t="inlineStr"/>
      <c r="C9" s="17" t="inlineStr"/>
      <c r="D9" s="17" t="inlineStr"/>
    </row>
    <row r="10">
      <c r="A10" s="21">
        <f>== 2024年4月 汽車出口 ===</f>
        <v/>
      </c>
      <c r="B10" s="17" t="inlineStr"/>
      <c r="C10" s="17" t="inlineStr"/>
      <c r="D10" s="17" t="inlineStr"/>
    </row>
    <row r="11">
      <c r="A11" s="17" t="inlineStr">
        <is>
          <t>2024年4月</t>
        </is>
      </c>
      <c r="B11" s="17" t="inlineStr">
        <is>
          <t>総出口</t>
        </is>
      </c>
      <c r="C11" s="17" t="inlineStr">
        <is>
          <t>55.6万辆</t>
        </is>
      </c>
      <c r="D11" s="17" t="inlineStr">
        <is>
          <t>同比+31%</t>
        </is>
      </c>
    </row>
    <row r="12">
      <c r="A12" s="17" t="inlineStr"/>
      <c r="B12" s="17" t="inlineStr">
        <is>
          <t>出口Top5</t>
        </is>
      </c>
      <c r="C12" s="17" t="inlineStr"/>
      <c r="D12" s="17" t="inlineStr"/>
    </row>
    <row r="13">
      <c r="A13" s="17" t="inlineStr"/>
      <c r="B13" s="17" t="inlineStr">
        <is>
          <t>俄罗斯</t>
        </is>
      </c>
      <c r="C13" s="18" t="n">
        <v>93478</v>
      </c>
      <c r="D13" s="17" t="inlineStr"/>
    </row>
    <row r="14">
      <c r="A14" s="17" t="inlineStr"/>
      <c r="B14" s="17" t="inlineStr">
        <is>
          <t>巴西</t>
        </is>
      </c>
      <c r="C14" s="18" t="n">
        <v>47389</v>
      </c>
      <c r="D14" s="17" t="inlineStr"/>
    </row>
    <row r="15">
      <c r="A15" s="17" t="inlineStr"/>
      <c r="B15" s="17" t="inlineStr">
        <is>
          <t>墨西哥</t>
        </is>
      </c>
      <c r="C15" s="18" t="n">
        <v>38997</v>
      </c>
      <c r="D15" s="17" t="inlineStr"/>
    </row>
    <row r="16">
      <c r="A16" s="17" t="inlineStr"/>
      <c r="B16" s="17" t="inlineStr">
        <is>
          <t>阿联酋</t>
        </is>
      </c>
      <c r="C16" s="18" t="n">
        <v>31237</v>
      </c>
      <c r="D16" s="17" t="inlineStr"/>
    </row>
    <row r="17">
      <c r="A17" s="17" t="inlineStr"/>
      <c r="B17" s="17" t="inlineStr">
        <is>
          <t>比利时</t>
        </is>
      </c>
      <c r="C17" s="18" t="n">
        <v>27293</v>
      </c>
      <c r="D17" s="17" t="inlineStr"/>
    </row>
    <row r="18">
      <c r="A18" s="17" t="inlineStr"/>
      <c r="B18" s="17" t="inlineStr"/>
      <c r="C18" s="17" t="inlineStr"/>
      <c r="D18" s="17" t="inlineStr"/>
    </row>
    <row r="19">
      <c r="A19" s="21">
        <f>== 2024年5月 汽車出口 ===</f>
        <v/>
      </c>
      <c r="B19" s="17" t="inlineStr"/>
      <c r="C19" s="17" t="inlineStr"/>
      <c r="D19" s="17" t="inlineStr"/>
    </row>
    <row r="20">
      <c r="A20" s="17" t="inlineStr">
        <is>
          <t>2024年5月</t>
        </is>
      </c>
      <c r="B20" s="17" t="inlineStr">
        <is>
          <t>総出口</t>
        </is>
      </c>
      <c r="C20" s="17" t="inlineStr">
        <is>
          <t>56.8万辆</t>
        </is>
      </c>
      <c r="D20" s="17" t="inlineStr">
        <is>
          <t>同比+29%</t>
        </is>
      </c>
    </row>
    <row r="21">
      <c r="A21" s="17" t="inlineStr"/>
      <c r="B21" s="17" t="inlineStr">
        <is>
          <t>出口Top5</t>
        </is>
      </c>
      <c r="C21" s="17" t="inlineStr"/>
      <c r="D21" s="17" t="inlineStr"/>
    </row>
    <row r="22">
      <c r="A22" s="17" t="inlineStr"/>
      <c r="B22" s="17" t="inlineStr">
        <is>
          <t>俄罗斯</t>
        </is>
      </c>
      <c r="C22" s="18" t="n">
        <v>103763</v>
      </c>
      <c r="D22" s="17" t="inlineStr"/>
    </row>
    <row r="23">
      <c r="A23" s="17" t="inlineStr"/>
      <c r="B23" s="17" t="inlineStr">
        <is>
          <t>巴西</t>
        </is>
      </c>
      <c r="C23" s="18" t="n">
        <v>53164</v>
      </c>
      <c r="D23" s="17" t="inlineStr"/>
    </row>
    <row r="24">
      <c r="A24" s="17" t="inlineStr"/>
      <c r="B24" s="17" t="inlineStr">
        <is>
          <t>墨西哥</t>
        </is>
      </c>
      <c r="C24" s="18" t="n">
        <v>42192</v>
      </c>
      <c r="D24" s="17" t="inlineStr"/>
    </row>
    <row r="25">
      <c r="A25" s="17" t="inlineStr"/>
      <c r="B25" s="17" t="inlineStr">
        <is>
          <t>比利时</t>
        </is>
      </c>
      <c r="C25" s="18" t="n">
        <v>28851</v>
      </c>
      <c r="D25" s="17" t="inlineStr"/>
    </row>
    <row r="26">
      <c r="A26" s="17" t="inlineStr"/>
      <c r="B26" s="17" t="inlineStr">
        <is>
          <t>阿联酋</t>
        </is>
      </c>
      <c r="C26" s="18" t="n">
        <v>28661</v>
      </c>
      <c r="D26" s="17" t="inlineStr"/>
    </row>
    <row r="27">
      <c r="A27" s="17" t="inlineStr"/>
      <c r="B27" s="17" t="inlineStr"/>
      <c r="C27" s="17" t="inlineStr"/>
      <c r="D27" s="17" t="inlineStr"/>
    </row>
    <row r="28">
      <c r="A28" s="21">
        <f>== 2024年1-5月 累計出口Top5 ===</f>
        <v/>
      </c>
      <c r="B28" s="17" t="inlineStr"/>
      <c r="C28" s="17" t="inlineStr"/>
      <c r="D28" s="17" t="inlineStr"/>
    </row>
    <row r="29">
      <c r="A29" s="17" t="inlineStr"/>
      <c r="B29" s="17" t="inlineStr">
        <is>
          <t>俄罗斯</t>
        </is>
      </c>
      <c r="C29" s="18" t="n">
        <v>372542</v>
      </c>
      <c r="D29" s="17" t="inlineStr"/>
    </row>
    <row r="30">
      <c r="A30" s="17" t="inlineStr"/>
      <c r="B30" s="17" t="inlineStr">
        <is>
          <t>墨西哥</t>
        </is>
      </c>
      <c r="C30" s="18" t="n">
        <v>190897</v>
      </c>
      <c r="D30" s="17" t="inlineStr"/>
    </row>
    <row r="31">
      <c r="A31" s="17" t="inlineStr"/>
      <c r="B31" s="17" t="inlineStr">
        <is>
          <t>巴西</t>
        </is>
      </c>
      <c r="C31" s="18" t="n">
        <v>159612</v>
      </c>
      <c r="D31" s="17" t="inlineStr"/>
    </row>
    <row r="32">
      <c r="A32" s="17" t="inlineStr"/>
      <c r="B32" s="17" t="inlineStr">
        <is>
          <t>比利时</t>
        </is>
      </c>
      <c r="C32" s="18" t="n">
        <v>124081</v>
      </c>
      <c r="D32" s="17" t="inlineStr"/>
    </row>
    <row r="33">
      <c r="A33" s="17" t="inlineStr"/>
      <c r="B33" s="17" t="inlineStr">
        <is>
          <t>阿联酋</t>
        </is>
      </c>
      <c r="C33" s="18" t="n">
        <v>114530</v>
      </c>
      <c r="D33" s="17" t="inlineStr"/>
    </row>
    <row r="34">
      <c r="A34" s="17" t="inlineStr"/>
      <c r="B34" s="17" t="inlineStr"/>
      <c r="C34" s="17" t="inlineStr"/>
      <c r="D34" s="17" t="inlineStr"/>
    </row>
    <row r="35">
      <c r="A35" s="21">
        <f>== 通年汽車出口 ===</f>
        <v/>
      </c>
      <c r="B35" s="17" t="inlineStr"/>
      <c r="C35" s="17" t="inlineStr"/>
      <c r="D35" s="17" t="inlineStr"/>
    </row>
    <row r="36">
      <c r="A36" s="17" t="inlineStr">
        <is>
          <t>2024年通年</t>
        </is>
      </c>
      <c r="B36" s="17" t="inlineStr">
        <is>
          <t>汽車出口</t>
        </is>
      </c>
      <c r="C36" s="17" t="inlineStr">
        <is>
          <t>641万辆</t>
        </is>
      </c>
      <c r="D36" s="17" t="inlineStr">
        <is>
          <t>同比+23%</t>
        </is>
      </c>
    </row>
    <row r="37">
      <c r="A37" s="17" t="inlineStr">
        <is>
          <t>2024年通年</t>
        </is>
      </c>
      <c r="B37" s="17" t="inlineStr">
        <is>
          <t>NEV出口</t>
        </is>
      </c>
      <c r="C37" s="17" t="inlineStr">
        <is>
          <t>201万辆</t>
        </is>
      </c>
      <c r="D37" s="17" t="inlineStr">
        <is>
          <t>同比+12%</t>
        </is>
      </c>
    </row>
    <row r="38">
      <c r="A38" s="17" t="inlineStr">
        <is>
          <t>2025年通年</t>
        </is>
      </c>
      <c r="B38" s="17" t="inlineStr">
        <is>
          <t>汽車出口</t>
        </is>
      </c>
      <c r="C38" s="17" t="inlineStr">
        <is>
          <t>832万辆</t>
        </is>
      </c>
      <c r="D38" s="17" t="inlineStr">
        <is>
          <t>同比+30%</t>
        </is>
      </c>
    </row>
    <row r="39">
      <c r="A39" s="17" t="inlineStr">
        <is>
          <t>2025年通年</t>
        </is>
      </c>
      <c r="B39" s="17" t="inlineStr">
        <is>
          <t>NEV出口</t>
        </is>
      </c>
      <c r="C39" s="17" t="inlineStr">
        <is>
          <t>343万辆</t>
        </is>
      </c>
      <c r="D39" s="17" t="inlineStr">
        <is>
          <t>同比+70%</t>
        </is>
      </c>
    </row>
    <row r="40">
      <c r="A40" s="17" t="inlineStr"/>
      <c r="B40" s="17" t="inlineStr"/>
      <c r="C40" s="17" t="inlineStr"/>
      <c r="D40" s="17" t="inlineStr"/>
    </row>
    <row r="41">
      <c r="A41" s="21">
        <f>== 2024通年 汽車出口Top10 ===</f>
        <v/>
      </c>
      <c r="B41" s="17" t="inlineStr"/>
      <c r="C41" s="17" t="inlineStr"/>
      <c r="D41" s="17" t="inlineStr"/>
    </row>
    <row r="42">
      <c r="A42" s="17" t="inlineStr"/>
      <c r="B42" s="17" t="inlineStr">
        <is>
          <t>俄罗斯</t>
        </is>
      </c>
      <c r="C42" s="18" t="n">
        <v>1157988</v>
      </c>
      <c r="D42" s="17" t="inlineStr"/>
    </row>
    <row r="43">
      <c r="A43" s="17" t="inlineStr"/>
      <c r="B43" s="17" t="inlineStr">
        <is>
          <t>墨西哥</t>
        </is>
      </c>
      <c r="C43" s="18" t="n">
        <v>445006</v>
      </c>
      <c r="D43" s="17" t="inlineStr"/>
    </row>
    <row r="44">
      <c r="A44" s="17" t="inlineStr"/>
      <c r="B44" s="17" t="inlineStr">
        <is>
          <t>阿联酋</t>
        </is>
      </c>
      <c r="C44" s="18" t="n">
        <v>330569</v>
      </c>
      <c r="D44" s="17" t="inlineStr"/>
    </row>
    <row r="45">
      <c r="A45" s="17" t="inlineStr"/>
      <c r="B45" s="17" t="inlineStr">
        <is>
          <t>比利时</t>
        </is>
      </c>
      <c r="C45" s="18" t="n">
        <v>280011</v>
      </c>
      <c r="D45" s="17" t="inlineStr"/>
    </row>
    <row r="46">
      <c r="A46" s="17" t="inlineStr"/>
      <c r="B46" s="17" t="inlineStr">
        <is>
          <t>沙特</t>
        </is>
      </c>
      <c r="C46" s="18" t="n">
        <v>275779</v>
      </c>
      <c r="D46" s="17" t="inlineStr"/>
    </row>
    <row r="47">
      <c r="A47" s="17" t="inlineStr"/>
      <c r="B47" s="17" t="inlineStr">
        <is>
          <t>巴西</t>
        </is>
      </c>
      <c r="C47" s="18" t="n">
        <v>236789</v>
      </c>
      <c r="D47" s="17" t="inlineStr"/>
    </row>
    <row r="48">
      <c r="A48" s="17" t="inlineStr"/>
      <c r="B48" s="17" t="inlineStr">
        <is>
          <t>英国</t>
        </is>
      </c>
      <c r="C48" s="18" t="n">
        <v>194781</v>
      </c>
      <c r="D48" s="17" t="inlineStr"/>
    </row>
    <row r="49">
      <c r="A49" s="17" t="inlineStr"/>
      <c r="B49" s="17" t="inlineStr">
        <is>
          <t>澳大利亚</t>
        </is>
      </c>
      <c r="C49" s="18" t="n">
        <v>178078</v>
      </c>
      <c r="D49" s="17" t="inlineStr"/>
    </row>
    <row r="50">
      <c r="A50" s="17" t="inlineStr"/>
      <c r="B50" s="17" t="inlineStr">
        <is>
          <t>菲律宾</t>
        </is>
      </c>
      <c r="C50" s="18" t="n">
        <v>169179</v>
      </c>
      <c r="D50" s="17" t="inlineStr"/>
    </row>
    <row r="51">
      <c r="A51" s="17" t="inlineStr"/>
      <c r="B51" s="17" t="inlineStr">
        <is>
          <t>土耳其</t>
        </is>
      </c>
      <c r="C51" s="18" t="n">
        <v>134334</v>
      </c>
      <c r="D51" s="17" t="inlineStr"/>
    </row>
    <row r="52">
      <c r="A52" s="17" t="inlineStr"/>
      <c r="B52" s="17" t="inlineStr"/>
      <c r="C52" s="17" t="inlineStr"/>
      <c r="D52" s="17" t="inlineStr"/>
    </row>
    <row r="53">
      <c r="A53" s="21">
        <f>== 2025通年 汽車出口Top10 ===</f>
        <v/>
      </c>
      <c r="B53" s="17" t="inlineStr"/>
      <c r="C53" s="17" t="inlineStr"/>
      <c r="D53" s="17" t="inlineStr"/>
    </row>
    <row r="54">
      <c r="A54" s="17" t="inlineStr"/>
      <c r="B54" s="17" t="inlineStr">
        <is>
          <t>墨西哥</t>
        </is>
      </c>
      <c r="C54" s="18" t="n">
        <v>625187</v>
      </c>
      <c r="D54" s="17" t="inlineStr"/>
    </row>
    <row r="55">
      <c r="A55" s="17" t="inlineStr"/>
      <c r="B55" s="17" t="inlineStr">
        <is>
          <t>俄罗斯</t>
        </is>
      </c>
      <c r="C55" s="18" t="n">
        <v>582738</v>
      </c>
      <c r="D55" s="17" t="inlineStr"/>
    </row>
    <row r="56">
      <c r="A56" s="17" t="inlineStr"/>
      <c r="B56" s="17" t="inlineStr">
        <is>
          <t>阿联酋</t>
        </is>
      </c>
      <c r="C56" s="18" t="n">
        <v>571937</v>
      </c>
      <c r="D56" s="17" t="inlineStr"/>
    </row>
    <row r="57">
      <c r="A57" s="17" t="inlineStr"/>
      <c r="B57" s="17" t="inlineStr">
        <is>
          <t>英国</t>
        </is>
      </c>
      <c r="C57" s="18" t="n">
        <v>335551</v>
      </c>
      <c r="D57" s="17" t="inlineStr"/>
    </row>
    <row r="58">
      <c r="A58" s="17" t="inlineStr"/>
      <c r="B58" s="17" t="inlineStr">
        <is>
          <t>巴西</t>
        </is>
      </c>
      <c r="C58" s="18" t="n">
        <v>322076</v>
      </c>
      <c r="D58" s="17" t="inlineStr"/>
    </row>
    <row r="59">
      <c r="A59" s="17" t="inlineStr"/>
      <c r="B59" s="17" t="inlineStr">
        <is>
          <t>沙特</t>
        </is>
      </c>
      <c r="C59" s="18" t="n">
        <v>302189</v>
      </c>
      <c r="D59" s="17" t="inlineStr"/>
    </row>
    <row r="60">
      <c r="A60" s="17" t="inlineStr"/>
      <c r="B60" s="17" t="inlineStr">
        <is>
          <t>比利时</t>
        </is>
      </c>
      <c r="C60" s="18" t="n">
        <v>300103</v>
      </c>
      <c r="D60" s="17" t="inlineStr"/>
    </row>
    <row r="61">
      <c r="A61" s="17" t="inlineStr"/>
      <c r="B61" s="17" t="inlineStr">
        <is>
          <t>澳大利亚</t>
        </is>
      </c>
      <c r="C61" s="18" t="n">
        <v>297382</v>
      </c>
      <c r="D61" s="17" t="inlineStr"/>
    </row>
    <row r="62">
      <c r="A62" s="17" t="inlineStr"/>
      <c r="B62" s="17" t="inlineStr">
        <is>
          <t>菲律宾</t>
        </is>
      </c>
      <c r="C62" s="18" t="n">
        <v>256681</v>
      </c>
      <c r="D62" s="17" t="inlineStr"/>
    </row>
    <row r="63">
      <c r="A63" s="17" t="inlineStr"/>
      <c r="B63" s="17" t="inlineStr">
        <is>
          <t>哈萨克斯坦</t>
        </is>
      </c>
      <c r="C63" s="18" t="n">
        <v>211545</v>
      </c>
      <c r="D63" s="17" t="inlineStr"/>
    </row>
    <row r="64">
      <c r="A64" s="17" t="inlineStr"/>
      <c r="B64" s="17" t="inlineStr"/>
      <c r="C64" s="17" t="inlineStr"/>
      <c r="D64" s="17" t="inlineStr"/>
    </row>
    <row r="65">
      <c r="A65" s="21">
        <f>== 2024通年 NEV出口Top10 ===</f>
        <v/>
      </c>
      <c r="B65" s="17" t="inlineStr"/>
      <c r="C65" s="17" t="inlineStr"/>
      <c r="D65" s="17" t="inlineStr"/>
    </row>
    <row r="66">
      <c r="A66" s="17" t="inlineStr"/>
      <c r="B66" s="17" t="inlineStr">
        <is>
          <t>比利时</t>
        </is>
      </c>
      <c r="C66" s="18" t="n">
        <v>263743</v>
      </c>
      <c r="D66" s="17" t="inlineStr"/>
    </row>
    <row r="67">
      <c r="A67" s="17" t="inlineStr"/>
      <c r="B67" s="17" t="inlineStr">
        <is>
          <t>巴西</t>
        </is>
      </c>
      <c r="C67" s="18" t="n">
        <v>152204</v>
      </c>
      <c r="D67" s="17" t="inlineStr"/>
    </row>
    <row r="68">
      <c r="A68" s="17" t="inlineStr"/>
      <c r="B68" s="17" t="inlineStr">
        <is>
          <t>英国</t>
        </is>
      </c>
      <c r="C68" s="18" t="n">
        <v>119436</v>
      </c>
      <c r="D68" s="17" t="inlineStr"/>
    </row>
    <row r="69">
      <c r="A69" s="17" t="inlineStr"/>
      <c r="B69" s="17" t="inlineStr">
        <is>
          <t>泰国</t>
        </is>
      </c>
      <c r="C69" s="18" t="n">
        <v>117165</v>
      </c>
      <c r="D69" s="17" t="inlineStr"/>
    </row>
    <row r="70">
      <c r="A70" s="17" t="inlineStr"/>
      <c r="B70" s="17" t="inlineStr">
        <is>
          <t>菲律宾</t>
        </is>
      </c>
      <c r="C70" s="18" t="n">
        <v>114457</v>
      </c>
      <c r="D70" s="17" t="inlineStr"/>
    </row>
    <row r="71">
      <c r="A71" s="17" t="inlineStr"/>
      <c r="B71" s="17" t="inlineStr">
        <is>
          <t>墨西哥</t>
        </is>
      </c>
      <c r="C71" s="18" t="n">
        <v>80552</v>
      </c>
      <c r="D71" s="17" t="inlineStr"/>
    </row>
    <row r="72">
      <c r="A72" s="17" t="inlineStr"/>
      <c r="B72" s="17" t="inlineStr">
        <is>
          <t>印度</t>
        </is>
      </c>
      <c r="C72" s="18" t="n">
        <v>77940</v>
      </c>
      <c r="D72" s="17" t="inlineStr"/>
    </row>
    <row r="73">
      <c r="A73" s="17" t="inlineStr"/>
      <c r="B73" s="17" t="inlineStr">
        <is>
          <t>阿联酋</t>
        </is>
      </c>
      <c r="C73" s="18" t="n">
        <v>76822</v>
      </c>
      <c r="D73" s="17" t="inlineStr"/>
    </row>
    <row r="74">
      <c r="A74" s="17" t="inlineStr"/>
      <c r="B74" s="17" t="inlineStr">
        <is>
          <t>澳大利亚</t>
        </is>
      </c>
      <c r="C74" s="18" t="n">
        <v>75374</v>
      </c>
      <c r="D74" s="17" t="inlineStr"/>
    </row>
    <row r="75">
      <c r="A75" s="17" t="inlineStr"/>
      <c r="B75" s="17" t="inlineStr">
        <is>
          <t>以色列</t>
        </is>
      </c>
      <c r="C75" s="18" t="n">
        <v>65373</v>
      </c>
      <c r="D75" s="17" t="inlineStr"/>
    </row>
    <row r="76">
      <c r="A76" s="17" t="inlineStr"/>
      <c r="B76" s="17" t="inlineStr"/>
      <c r="C76" s="17" t="inlineStr"/>
      <c r="D76" s="17" t="inlineStr"/>
    </row>
    <row r="77">
      <c r="A77" s="21">
        <f>== 2025通年 NEV出口Top10 ===</f>
        <v/>
      </c>
      <c r="B77" s="17" t="inlineStr"/>
      <c r="C77" s="17" t="inlineStr"/>
      <c r="D77" s="17" t="inlineStr"/>
    </row>
    <row r="78">
      <c r="A78" s="17" t="inlineStr"/>
      <c r="B78" s="17" t="inlineStr">
        <is>
          <t>比利时</t>
        </is>
      </c>
      <c r="C78" s="18" t="n">
        <v>284921</v>
      </c>
      <c r="D78" s="17" t="inlineStr"/>
    </row>
    <row r="79">
      <c r="A79" s="17" t="inlineStr"/>
      <c r="B79" s="17" t="inlineStr">
        <is>
          <t>英国</t>
        </is>
      </c>
      <c r="C79" s="18" t="n">
        <v>231181</v>
      </c>
      <c r="D79" s="17" t="inlineStr"/>
    </row>
    <row r="80">
      <c r="A80" s="17" t="inlineStr"/>
      <c r="B80" s="17" t="inlineStr">
        <is>
          <t>墨西哥</t>
        </is>
      </c>
      <c r="C80" s="18" t="n">
        <v>221027</v>
      </c>
      <c r="D80" s="17" t="inlineStr"/>
    </row>
    <row r="81">
      <c r="A81" s="17" t="inlineStr"/>
      <c r="B81" s="17" t="inlineStr">
        <is>
          <t>巴西</t>
        </is>
      </c>
      <c r="C81" s="18" t="n">
        <v>200825</v>
      </c>
      <c r="D81" s="17" t="inlineStr"/>
    </row>
    <row r="82">
      <c r="A82" s="17" t="inlineStr"/>
      <c r="B82" s="17" t="inlineStr">
        <is>
          <t>菲律宾</t>
        </is>
      </c>
      <c r="C82" s="18" t="n">
        <v>200544</v>
      </c>
      <c r="D82" s="17" t="inlineStr"/>
    </row>
    <row r="83">
      <c r="A83" s="17" t="inlineStr"/>
      <c r="B83" s="17" t="inlineStr">
        <is>
          <t>阿联酋</t>
        </is>
      </c>
      <c r="C83" s="18" t="n">
        <v>191946</v>
      </c>
      <c r="D83" s="17" t="inlineStr"/>
    </row>
    <row r="84">
      <c r="A84" s="17" t="inlineStr"/>
      <c r="B84" s="17" t="inlineStr">
        <is>
          <t>泰国</t>
        </is>
      </c>
      <c r="C84" s="18" t="n">
        <v>151633</v>
      </c>
      <c r="D84" s="17" t="inlineStr"/>
    </row>
    <row r="85">
      <c r="A85" s="17" t="inlineStr"/>
      <c r="B85" s="17" t="inlineStr">
        <is>
          <t>澳大利亚</t>
        </is>
      </c>
      <c r="C85" s="18" t="n">
        <v>145781</v>
      </c>
      <c r="D85" s="17" t="inlineStr"/>
    </row>
    <row r="86">
      <c r="A86" s="17" t="inlineStr"/>
      <c r="B86" s="17" t="inlineStr">
        <is>
          <t>印度尼西亚</t>
        </is>
      </c>
      <c r="C86" s="18" t="n">
        <v>126536</v>
      </c>
      <c r="D86" s="17" t="inlineStr"/>
    </row>
    <row r="87">
      <c r="A87" s="17" t="inlineStr"/>
      <c r="B87" s="17" t="inlineStr">
        <is>
          <t>印度</t>
        </is>
      </c>
      <c r="C87" s="18" t="n">
        <v>102691</v>
      </c>
      <c r="D87" s="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>
      <c r="A1" s="14" t="inlineStr">
        <is>
          <t>期間</t>
        </is>
      </c>
      <c r="B1" s="14" t="inlineStr">
        <is>
          <t>項目</t>
        </is>
      </c>
      <c r="C1" s="14" t="inlineStr">
        <is>
          <t>数値/辆数</t>
        </is>
      </c>
      <c r="D1" s="14" t="inlineStr">
        <is>
          <t>備考</t>
        </is>
      </c>
    </row>
    <row r="2">
      <c r="A2" s="22">
        <f>== 月次進口 ===</f>
        <v/>
      </c>
      <c r="B2" s="17" t="inlineStr"/>
      <c r="C2" s="17" t="inlineStr"/>
      <c r="D2" s="17" t="inlineStr"/>
    </row>
    <row r="3">
      <c r="A3" s="17" t="inlineStr">
        <is>
          <t>2024年3月</t>
        </is>
      </c>
      <c r="B3" s="17" t="inlineStr">
        <is>
          <t>進口</t>
        </is>
      </c>
      <c r="C3" s="17" t="inlineStr">
        <is>
          <t>5.3万辆</t>
        </is>
      </c>
      <c r="D3" s="17" t="inlineStr">
        <is>
          <t>同比-7%</t>
        </is>
      </c>
    </row>
    <row r="4">
      <c r="A4" s="17" t="inlineStr"/>
      <c r="B4" s="17" t="inlineStr">
        <is>
          <t>Top5: 日本</t>
        </is>
      </c>
      <c r="C4" s="18" t="n">
        <v>17013</v>
      </c>
      <c r="D4" s="17" t="inlineStr"/>
    </row>
    <row r="5">
      <c r="A5" s="17" t="inlineStr"/>
      <c r="B5" s="17" t="inlineStr">
        <is>
          <t>ドイツ</t>
        </is>
      </c>
      <c r="C5" s="18" t="n">
        <v>11067</v>
      </c>
      <c r="D5" s="17" t="inlineStr"/>
    </row>
    <row r="6">
      <c r="A6" s="17" t="inlineStr"/>
      <c r="B6" s="17" t="inlineStr">
        <is>
          <t>英国</t>
        </is>
      </c>
      <c r="C6" s="18" t="n">
        <v>7249</v>
      </c>
      <c r="D6" s="17" t="inlineStr"/>
    </row>
    <row r="7">
      <c r="A7" s="17" t="inlineStr"/>
      <c r="B7" s="17" t="inlineStr">
        <is>
          <t>米国</t>
        </is>
      </c>
      <c r="C7" s="18" t="n">
        <v>6437</v>
      </c>
      <c r="D7" s="17" t="inlineStr"/>
    </row>
    <row r="8">
      <c r="A8" s="17" t="inlineStr"/>
      <c r="B8" s="17" t="inlineStr">
        <is>
          <t>スロバキア</t>
        </is>
      </c>
      <c r="C8" s="18" t="n">
        <v>6084</v>
      </c>
      <c r="D8" s="17" t="inlineStr"/>
    </row>
    <row r="9">
      <c r="A9" s="17" t="inlineStr"/>
      <c r="B9" s="17" t="inlineStr"/>
      <c r="C9" s="17" t="inlineStr"/>
      <c r="D9" s="17" t="inlineStr"/>
    </row>
    <row r="10">
      <c r="A10" s="17" t="inlineStr">
        <is>
          <t>2024年4月</t>
        </is>
      </c>
      <c r="B10" s="17" t="inlineStr">
        <is>
          <t>進口</t>
        </is>
      </c>
      <c r="C10" s="17" t="inlineStr">
        <is>
          <t>5.1万辆</t>
        </is>
      </c>
      <c r="D10" s="17" t="inlineStr">
        <is>
          <t>同比-17%</t>
        </is>
      </c>
    </row>
    <row r="11">
      <c r="A11" s="17" t="inlineStr"/>
      <c r="B11" s="17" t="inlineStr">
        <is>
          <t>Top5: 日本</t>
        </is>
      </c>
      <c r="C11" s="18" t="n">
        <v>16791</v>
      </c>
      <c r="D11" s="17" t="inlineStr"/>
    </row>
    <row r="12">
      <c r="A12" s="17" t="inlineStr"/>
      <c r="B12" s="17" t="inlineStr">
        <is>
          <t>ドイツ</t>
        </is>
      </c>
      <c r="C12" s="18" t="n">
        <v>12507</v>
      </c>
      <c r="D12" s="17" t="inlineStr"/>
    </row>
    <row r="13">
      <c r="A13" s="17" t="inlineStr"/>
      <c r="B13" s="17" t="inlineStr">
        <is>
          <t>米国</t>
        </is>
      </c>
      <c r="C13" s="18" t="n">
        <v>9774</v>
      </c>
      <c r="D13" s="17" t="inlineStr"/>
    </row>
    <row r="14">
      <c r="A14" s="17" t="inlineStr"/>
      <c r="B14" s="17" t="inlineStr">
        <is>
          <t>スロバキア</t>
        </is>
      </c>
      <c r="C14" s="18" t="n">
        <v>3699</v>
      </c>
      <c r="D14" s="17" t="inlineStr"/>
    </row>
    <row r="15">
      <c r="A15" s="17" t="inlineStr"/>
      <c r="B15" s="17" t="inlineStr">
        <is>
          <t>スウェーデン</t>
        </is>
      </c>
      <c r="C15" s="18" t="n">
        <v>2070</v>
      </c>
      <c r="D15" s="17" t="inlineStr"/>
    </row>
    <row r="16">
      <c r="A16" s="17" t="inlineStr"/>
      <c r="B16" s="17" t="inlineStr"/>
      <c r="C16" s="17" t="inlineStr"/>
      <c r="D16" s="17" t="inlineStr"/>
    </row>
    <row r="17">
      <c r="A17" s="17" t="inlineStr">
        <is>
          <t>2024年5月</t>
        </is>
      </c>
      <c r="B17" s="17" t="inlineStr">
        <is>
          <t>進口</t>
        </is>
      </c>
      <c r="C17" s="17" t="inlineStr">
        <is>
          <t>6.3万辆</t>
        </is>
      </c>
      <c r="D17" s="17" t="inlineStr">
        <is>
          <t>同比+7%</t>
        </is>
      </c>
    </row>
    <row r="18">
      <c r="A18" s="17" t="inlineStr"/>
      <c r="B18" s="17" t="inlineStr">
        <is>
          <t>Top5: 日本</t>
        </is>
      </c>
      <c r="C18" s="18" t="n">
        <v>20228</v>
      </c>
      <c r="D18" s="17" t="inlineStr"/>
    </row>
    <row r="19">
      <c r="A19" s="17" t="inlineStr"/>
      <c r="B19" s="17" t="inlineStr">
        <is>
          <t>ドイツ</t>
        </is>
      </c>
      <c r="C19" s="18" t="n">
        <v>18869</v>
      </c>
      <c r="D19" s="17" t="inlineStr"/>
    </row>
    <row r="20">
      <c r="A20" s="17" t="inlineStr"/>
      <c r="B20" s="17" t="inlineStr">
        <is>
          <t>米国</t>
        </is>
      </c>
      <c r="C20" s="18" t="n">
        <v>9739</v>
      </c>
      <c r="D20" s="17" t="inlineStr"/>
    </row>
    <row r="21">
      <c r="A21" s="17" t="inlineStr"/>
      <c r="B21" s="17" t="inlineStr">
        <is>
          <t>スロバキア</t>
        </is>
      </c>
      <c r="C21" s="18" t="n">
        <v>4317</v>
      </c>
      <c r="D21" s="17" t="inlineStr"/>
    </row>
    <row r="22">
      <c r="A22" s="17" t="inlineStr"/>
      <c r="B22" s="17" t="inlineStr">
        <is>
          <t>英国</t>
        </is>
      </c>
      <c r="C22" s="18" t="n">
        <v>4297</v>
      </c>
      <c r="D22" s="17" t="inlineStr"/>
    </row>
    <row r="23">
      <c r="A23" s="17" t="inlineStr"/>
      <c r="B23" s="17" t="inlineStr"/>
      <c r="C23" s="17" t="inlineStr"/>
      <c r="D23" s="17" t="inlineStr"/>
    </row>
    <row r="24">
      <c r="A24" s="22">
        <f>== 累計進口 ===</f>
        <v/>
      </c>
      <c r="B24" s="17" t="inlineStr"/>
      <c r="C24" s="17" t="inlineStr"/>
      <c r="D24" s="17" t="inlineStr"/>
    </row>
    <row r="25">
      <c r="A25" s="17" t="inlineStr">
        <is>
          <t>2024年1-3月</t>
        </is>
      </c>
      <c r="B25" s="17" t="inlineStr">
        <is>
          <t>進口累計</t>
        </is>
      </c>
      <c r="C25" s="17" t="inlineStr">
        <is>
          <t>15.6万辆</t>
        </is>
      </c>
      <c r="D25" s="17" t="inlineStr">
        <is>
          <t>同比-4%</t>
        </is>
      </c>
    </row>
    <row r="26">
      <c r="A26" s="17" t="inlineStr">
        <is>
          <t>2024年1-4月</t>
        </is>
      </c>
      <c r="B26" s="17" t="inlineStr">
        <is>
          <t>進口累計</t>
        </is>
      </c>
      <c r="C26" s="17" t="inlineStr">
        <is>
          <t>21万辆</t>
        </is>
      </c>
      <c r="D26" s="17" t="inlineStr">
        <is>
          <t>同比-8%</t>
        </is>
      </c>
    </row>
    <row r="27">
      <c r="A27" s="17" t="inlineStr">
        <is>
          <t>2024年1-5月</t>
        </is>
      </c>
      <c r="B27" s="17" t="inlineStr">
        <is>
          <t>進口累計</t>
        </is>
      </c>
      <c r="C27" s="17" t="inlineStr">
        <is>
          <t>27.1万辆</t>
        </is>
      </c>
      <c r="D27" s="17" t="inlineStr">
        <is>
          <t>同比-4%</t>
        </is>
      </c>
    </row>
    <row r="28">
      <c r="A28" s="17" t="inlineStr"/>
      <c r="B28" s="17" t="inlineStr"/>
      <c r="C28" s="17" t="inlineStr"/>
      <c r="D28" s="17" t="inlineStr"/>
    </row>
    <row r="29">
      <c r="A29" s="22">
        <f>== 通年推移 ===</f>
        <v/>
      </c>
      <c r="B29" s="17" t="inlineStr"/>
      <c r="C29" s="17" t="inlineStr"/>
      <c r="D29" s="17" t="inlineStr"/>
    </row>
    <row r="30">
      <c r="A30" s="17" t="inlineStr">
        <is>
          <t>2017年(ピーク)</t>
        </is>
      </c>
      <c r="B30" s="17" t="inlineStr">
        <is>
          <t>進口</t>
        </is>
      </c>
      <c r="C30" s="17" t="inlineStr">
        <is>
          <t>124万辆</t>
        </is>
      </c>
      <c r="D30" s="17" t="inlineStr"/>
    </row>
    <row r="31">
      <c r="A31" s="17" t="inlineStr">
        <is>
          <t>2023年</t>
        </is>
      </c>
      <c r="B31" s="17" t="inlineStr">
        <is>
          <t>進口</t>
        </is>
      </c>
      <c r="C31" s="17" t="inlineStr">
        <is>
          <t>80万辆</t>
        </is>
      </c>
      <c r="D31" s="17" t="inlineStr">
        <is>
          <t>同比-10%</t>
        </is>
      </c>
    </row>
    <row r="32">
      <c r="A32" s="17" t="inlineStr">
        <is>
          <t>2024年</t>
        </is>
      </c>
      <c r="B32" s="17" t="inlineStr">
        <is>
          <t>進口</t>
        </is>
      </c>
      <c r="C32" s="17" t="inlineStr">
        <is>
          <t>70万辆</t>
        </is>
      </c>
      <c r="D32" s="17" t="inlineStr">
        <is>
          <t>同比-12%</t>
        </is>
      </c>
    </row>
    <row r="33">
      <c r="A33" s="17" t="inlineStr">
        <is>
          <t>2025年</t>
        </is>
      </c>
      <c r="B33" s="17" t="inlineStr">
        <is>
          <t>進口</t>
        </is>
      </c>
      <c r="C33" s="17" t="inlineStr">
        <is>
          <t>48万辆</t>
        </is>
      </c>
      <c r="D33" s="17" t="inlineStr">
        <is>
          <t>同比-32%</t>
        </is>
      </c>
    </row>
    <row r="34">
      <c r="A34" s="17" t="inlineStr"/>
      <c r="B34" s="17" t="inlineStr"/>
      <c r="C34" s="17" t="inlineStr"/>
      <c r="D34" s="17" t="inlineStr"/>
    </row>
    <row r="35">
      <c r="A35" s="22">
        <f>== 2024通年 進口元Top10 ===</f>
        <v/>
      </c>
      <c r="B35" s="17" t="inlineStr"/>
      <c r="C35" s="17" t="inlineStr"/>
      <c r="D35" s="17" t="inlineStr"/>
    </row>
    <row r="36">
      <c r="A36" s="17" t="inlineStr"/>
      <c r="B36" s="17" t="inlineStr">
        <is>
          <t>日本</t>
        </is>
      </c>
      <c r="C36" s="18" t="n">
        <v>227870</v>
      </c>
      <c r="D36" s="17" t="inlineStr"/>
    </row>
    <row r="37">
      <c r="A37" s="17" t="inlineStr"/>
      <c r="B37" s="17" t="inlineStr">
        <is>
          <t>ドイツ</t>
        </is>
      </c>
      <c r="C37" s="18" t="n">
        <v>192648</v>
      </c>
      <c r="D37" s="17" t="inlineStr"/>
    </row>
    <row r="38">
      <c r="A38" s="17" t="inlineStr"/>
      <c r="B38" s="17" t="inlineStr">
        <is>
          <t>米国</t>
        </is>
      </c>
      <c r="C38" s="18" t="n">
        <v>109356</v>
      </c>
      <c r="D38" s="17" t="inlineStr"/>
    </row>
    <row r="39">
      <c r="A39" s="17" t="inlineStr"/>
      <c r="B39" s="17" t="inlineStr">
        <is>
          <t>スロバキア</t>
        </is>
      </c>
      <c r="C39" s="18" t="n">
        <v>62412</v>
      </c>
      <c r="D39" s="17" t="inlineStr"/>
    </row>
    <row r="40">
      <c r="A40" s="17" t="inlineStr"/>
      <c r="B40" s="17" t="inlineStr">
        <is>
          <t>英国</t>
        </is>
      </c>
      <c r="C40" s="18" t="n">
        <v>45078</v>
      </c>
      <c r="D40" s="17" t="inlineStr"/>
    </row>
    <row r="41">
      <c r="A41" s="17" t="inlineStr"/>
      <c r="B41" s="17" t="inlineStr">
        <is>
          <t>スウェーデン</t>
        </is>
      </c>
      <c r="C41" s="18" t="n">
        <v>22172</v>
      </c>
      <c r="D41" s="17" t="inlineStr"/>
    </row>
    <row r="42">
      <c r="A42" s="17" t="inlineStr"/>
      <c r="B42" s="17" t="inlineStr">
        <is>
          <t>オーストリア</t>
        </is>
      </c>
      <c r="C42" s="18" t="n">
        <v>10779</v>
      </c>
      <c r="D42" s="17" t="inlineStr"/>
    </row>
    <row r="43">
      <c r="A43" s="17" t="inlineStr"/>
      <c r="B43" s="17" t="inlineStr">
        <is>
          <t>ハンガリー</t>
        </is>
      </c>
      <c r="C43" s="18" t="n">
        <v>8062</v>
      </c>
      <c r="D43" s="17" t="inlineStr"/>
    </row>
    <row r="44">
      <c r="A44" s="17" t="inlineStr"/>
      <c r="B44" s="17" t="inlineStr">
        <is>
          <t>メキシコ</t>
        </is>
      </c>
      <c r="C44" s="18" t="n">
        <v>8018</v>
      </c>
      <c r="D44" s="17" t="inlineStr"/>
    </row>
    <row r="45">
      <c r="A45" s="17" t="inlineStr"/>
      <c r="B45" s="17" t="inlineStr">
        <is>
          <t>韓国</t>
        </is>
      </c>
      <c r="C45" s="18" t="n">
        <v>4759</v>
      </c>
      <c r="D45" s="17" t="inlineStr"/>
    </row>
    <row r="46">
      <c r="A46" s="17" t="inlineStr"/>
      <c r="B46" s="17" t="inlineStr"/>
      <c r="C46" s="17" t="inlineStr"/>
      <c r="D46" s="17" t="inlineStr"/>
    </row>
    <row r="47">
      <c r="A47" s="22">
        <f>== 2025通年 進口元Top10 ===</f>
        <v/>
      </c>
      <c r="B47" s="17" t="inlineStr"/>
      <c r="C47" s="17" t="inlineStr"/>
      <c r="D47" s="17" t="inlineStr"/>
    </row>
    <row r="48">
      <c r="A48" s="17" t="inlineStr"/>
      <c r="B48" s="17" t="inlineStr">
        <is>
          <t>日本</t>
        </is>
      </c>
      <c r="C48" s="18" t="n">
        <v>203107</v>
      </c>
      <c r="D48" s="17" t="inlineStr"/>
    </row>
    <row r="49">
      <c r="A49" s="17" t="inlineStr"/>
      <c r="B49" s="17" t="inlineStr">
        <is>
          <t>ドイツ</t>
        </is>
      </c>
      <c r="C49" s="18" t="n">
        <v>104436</v>
      </c>
      <c r="D49" s="17" t="inlineStr"/>
    </row>
    <row r="50">
      <c r="A50" s="17" t="inlineStr"/>
      <c r="B50" s="17" t="inlineStr">
        <is>
          <t>スロバキア</t>
        </is>
      </c>
      <c r="C50" s="18" t="n">
        <v>51226</v>
      </c>
      <c r="D50" s="17" t="inlineStr"/>
    </row>
    <row r="51">
      <c r="A51" s="17" t="inlineStr"/>
      <c r="B51" s="17" t="inlineStr">
        <is>
          <t>米国</t>
        </is>
      </c>
      <c r="C51" s="18" t="n">
        <v>48549</v>
      </c>
      <c r="D51" s="17" t="inlineStr">
        <is>
          <t>同比大幅減</t>
        </is>
      </c>
    </row>
    <row r="52">
      <c r="A52" s="17" t="inlineStr"/>
      <c r="B52" s="17" t="inlineStr">
        <is>
          <t>英国</t>
        </is>
      </c>
      <c r="C52" s="18" t="n">
        <v>36393</v>
      </c>
      <c r="D52" s="17" t="inlineStr"/>
    </row>
    <row r="53">
      <c r="A53" s="17" t="inlineStr"/>
      <c r="B53" s="17" t="inlineStr">
        <is>
          <t>スウェーデン</t>
        </is>
      </c>
      <c r="C53" s="18" t="n">
        <v>13693</v>
      </c>
      <c r="D53" s="17" t="inlineStr"/>
    </row>
    <row r="54">
      <c r="A54" s="17" t="inlineStr"/>
      <c r="B54" s="17" t="inlineStr">
        <is>
          <t>メキシコ</t>
        </is>
      </c>
      <c r="C54" s="18" t="n">
        <v>5001</v>
      </c>
      <c r="D54" s="17" t="inlineStr"/>
    </row>
    <row r="55">
      <c r="A55" s="17" t="inlineStr"/>
      <c r="B55" s="17" t="inlineStr">
        <is>
          <t>オーストリア</t>
        </is>
      </c>
      <c r="C55" s="18" t="n">
        <v>3031</v>
      </c>
      <c r="D55" s="17" t="inlineStr"/>
    </row>
    <row r="56">
      <c r="A56" s="17" t="inlineStr"/>
      <c r="B56" s="17" t="inlineStr">
        <is>
          <t>ハンガリー</t>
        </is>
      </c>
      <c r="C56" s="18" t="n">
        <v>2153</v>
      </c>
      <c r="D56" s="17" t="inlineStr"/>
    </row>
    <row r="57">
      <c r="A57" s="17" t="inlineStr"/>
      <c r="B57" s="17" t="inlineStr">
        <is>
          <t>韓国</t>
        </is>
      </c>
      <c r="C57" s="18" t="n">
        <v>1405</v>
      </c>
      <c r="D57" s="17" t="inlineStr"/>
    </row>
    <row r="58">
      <c r="A58" s="17" t="inlineStr"/>
      <c r="B58" s="17" t="inlineStr"/>
      <c r="C58" s="17" t="inlineStr"/>
      <c r="D58" s="17" t="inlineStr"/>
    </row>
    <row r="59">
      <c r="A59" s="22">
        <f>== 米国車進口推移 ===</f>
        <v/>
      </c>
      <c r="B59" s="17" t="inlineStr"/>
      <c r="C59" s="17" t="inlineStr"/>
      <c r="D59" s="17" t="inlineStr"/>
    </row>
    <row r="60">
      <c r="A60" s="17" t="inlineStr">
        <is>
          <t>2017年</t>
        </is>
      </c>
      <c r="B60" s="17" t="inlineStr">
        <is>
          <t>米国車</t>
        </is>
      </c>
      <c r="C60" s="17" t="inlineStr">
        <is>
          <t>28万辆</t>
        </is>
      </c>
      <c r="D60" s="17" t="inlineStr">
        <is>
          <t>ピーク</t>
        </is>
      </c>
    </row>
    <row r="61">
      <c r="A61" s="17" t="inlineStr">
        <is>
          <t>2024年</t>
        </is>
      </c>
      <c r="B61" s="17" t="inlineStr">
        <is>
          <t>米国車</t>
        </is>
      </c>
      <c r="C61" s="17" t="inlineStr">
        <is>
          <t>10.9万辆</t>
        </is>
      </c>
      <c r="D61" s="17" t="inlineStr"/>
    </row>
    <row r="62">
      <c r="A62" s="17" t="inlineStr">
        <is>
          <t>2025年</t>
        </is>
      </c>
      <c r="B62" s="17" t="inlineStr">
        <is>
          <t>米国車</t>
        </is>
      </c>
      <c r="C62" s="17" t="inlineStr">
        <is>
          <t>4.9万辆</t>
        </is>
      </c>
      <c r="D62" s="17" t="inlineStr">
        <is>
          <t>同比-55%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6" t="inlineStr">
        <is>
          <t>期間</t>
        </is>
      </c>
      <c r="B1" s="16" t="inlineStr">
        <is>
          <t>純電動%</t>
        </is>
      </c>
      <c r="C1" s="16" t="inlineStr">
        <is>
          <t>PHEV%</t>
        </is>
      </c>
      <c r="D1" s="16" t="inlineStr">
        <is>
          <t>普混%</t>
        </is>
      </c>
      <c r="E1" s="16" t="inlineStr">
        <is>
          <t>燃油車%</t>
        </is>
      </c>
      <c r="F1" s="16" t="inlineStr">
        <is>
          <t>NEV出口占比%</t>
        </is>
      </c>
    </row>
    <row r="2">
      <c r="A2" s="5" t="inlineStr">
        <is>
          <t>2023年5月</t>
        </is>
      </c>
      <c r="B2" s="7" t="n"/>
      <c r="C2" s="7" t="n"/>
      <c r="D2" s="7" t="n"/>
      <c r="E2" s="7" t="n"/>
      <c r="F2" s="6" t="n">
        <v>30</v>
      </c>
    </row>
    <row r="3">
      <c r="A3" s="5" t="inlineStr">
        <is>
          <t>2023年6月</t>
        </is>
      </c>
      <c r="B3" s="7" t="n"/>
      <c r="C3" s="7" t="n"/>
      <c r="D3" s="7" t="n"/>
      <c r="E3" s="7" t="n"/>
      <c r="F3" s="6" t="n">
        <v>28</v>
      </c>
    </row>
    <row r="4">
      <c r="A4" s="5" t="inlineStr">
        <is>
          <t>2023年7月</t>
        </is>
      </c>
      <c r="B4" s="7" t="n"/>
      <c r="C4" s="7" t="n"/>
      <c r="D4" s="7" t="n"/>
      <c r="E4" s="7" t="n"/>
      <c r="F4" s="6" t="n">
        <v>28</v>
      </c>
    </row>
    <row r="5">
      <c r="A5" s="5" t="inlineStr">
        <is>
          <t>2023年8月</t>
        </is>
      </c>
      <c r="B5" s="7" t="n"/>
      <c r="C5" s="7" t="n"/>
      <c r="D5" s="7" t="n"/>
      <c r="E5" s="7" t="n"/>
      <c r="F5" s="6" t="n">
        <v>24</v>
      </c>
    </row>
    <row r="6">
      <c r="A6" s="5" t="inlineStr">
        <is>
          <t>2023年9月</t>
        </is>
      </c>
      <c r="B6" s="7" t="n"/>
      <c r="C6" s="7" t="n"/>
      <c r="D6" s="7" t="n"/>
      <c r="E6" s="7" t="n"/>
      <c r="F6" s="6" t="n">
        <v>25.4</v>
      </c>
    </row>
    <row r="7">
      <c r="A7" s="5" t="inlineStr">
        <is>
          <t>2023年10月</t>
        </is>
      </c>
      <c r="B7" s="7" t="n"/>
      <c r="C7" s="7" t="n"/>
      <c r="D7" s="7" t="n"/>
      <c r="E7" s="7" t="n"/>
      <c r="F7" s="6" t="n">
        <v>28.6</v>
      </c>
    </row>
    <row r="8">
      <c r="A8" s="5" t="inlineStr">
        <is>
          <t>2023年11月</t>
        </is>
      </c>
      <c r="B8" s="7" t="n"/>
      <c r="C8" s="7" t="n"/>
      <c r="D8" s="7" t="n"/>
      <c r="E8" s="7" t="n"/>
      <c r="F8" s="6" t="n">
        <v>23.5</v>
      </c>
    </row>
    <row r="9">
      <c r="A9" s="5" t="inlineStr">
        <is>
          <t>2023年12月</t>
        </is>
      </c>
      <c r="B9" s="7" t="n"/>
      <c r="C9" s="7" t="n"/>
      <c r="D9" s="7" t="n"/>
      <c r="E9" s="7" t="n"/>
      <c r="F9" s="6" t="n">
        <v>26.6</v>
      </c>
    </row>
    <row r="10">
      <c r="A10" s="5" t="inlineStr">
        <is>
          <t>2024年1月</t>
        </is>
      </c>
      <c r="B10" s="7" t="n"/>
      <c r="C10" s="7" t="n"/>
      <c r="D10" s="7" t="n"/>
      <c r="E10" s="7" t="n"/>
      <c r="F10" s="6" t="n">
        <v>26.8</v>
      </c>
    </row>
    <row r="11">
      <c r="A11" s="5" t="inlineStr">
        <is>
          <t>2024年2月</t>
        </is>
      </c>
      <c r="B11" s="7" t="n"/>
      <c r="C11" s="7" t="n"/>
      <c r="D11" s="7" t="n"/>
      <c r="E11" s="7" t="n"/>
      <c r="F11" s="6" t="n">
        <v>26.4</v>
      </c>
    </row>
    <row r="12">
      <c r="A12" s="5" t="inlineStr">
        <is>
          <t>2024年3月</t>
        </is>
      </c>
      <c r="B12" s="7" t="n"/>
      <c r="C12" s="7" t="n"/>
      <c r="D12" s="7" t="n"/>
      <c r="E12" s="7" t="n"/>
      <c r="F12" s="6" t="n">
        <v>29.3</v>
      </c>
    </row>
    <row r="13">
      <c r="A13" s="5" t="inlineStr">
        <is>
          <t>2024年4月</t>
        </is>
      </c>
      <c r="B13" s="7" t="n"/>
      <c r="C13" s="7" t="n"/>
      <c r="D13" s="7" t="n"/>
      <c r="E13" s="7" t="n"/>
      <c r="F13" s="6" t="n">
        <v>27.1</v>
      </c>
    </row>
    <row r="14">
      <c r="A14" s="5" t="inlineStr">
        <is>
          <t>2024年5月</t>
        </is>
      </c>
      <c r="B14" s="7" t="n"/>
      <c r="C14" s="7" t="n"/>
      <c r="D14" s="7" t="n"/>
      <c r="E14" s="7" t="n"/>
      <c r="F14" s="6" t="n">
        <v>24.8</v>
      </c>
    </row>
    <row r="15">
      <c r="A15" s="5" t="inlineStr">
        <is>
          <t>2024年6月</t>
        </is>
      </c>
      <c r="B15" s="7" t="n"/>
      <c r="C15" s="7" t="n"/>
      <c r="D15" s="7" t="n"/>
      <c r="E15" s="7" t="n"/>
      <c r="F15" s="6" t="n">
        <v>21</v>
      </c>
    </row>
    <row r="16">
      <c r="A16" s="5" t="inlineStr">
        <is>
          <t>2025年10月</t>
        </is>
      </c>
      <c r="B16" s="6" t="n">
        <v>26</v>
      </c>
      <c r="C16" s="6" t="n">
        <v>14</v>
      </c>
      <c r="D16" s="6" t="n">
        <v>6</v>
      </c>
      <c r="E16" s="6" t="n">
        <v>44</v>
      </c>
      <c r="F16" s="7" t="n"/>
    </row>
    <row r="17">
      <c r="A17" s="5" t="inlineStr">
        <is>
          <t>2025年11月</t>
        </is>
      </c>
      <c r="B17" s="6" t="n">
        <v>26</v>
      </c>
      <c r="C17" s="6" t="n">
        <v>17</v>
      </c>
      <c r="D17" s="6" t="n">
        <v>6</v>
      </c>
      <c r="E17" s="6" t="n">
        <v>40</v>
      </c>
      <c r="F17" s="7" t="n"/>
    </row>
    <row r="18">
      <c r="A18" s="5" t="inlineStr">
        <is>
          <t>2025年12月</t>
        </is>
      </c>
      <c r="B18" s="6" t="n">
        <v>25</v>
      </c>
      <c r="C18" s="6" t="n">
        <v>17</v>
      </c>
      <c r="D18" s="6" t="n">
        <v>7</v>
      </c>
      <c r="E18" s="6" t="n">
        <v>40</v>
      </c>
      <c r="F18" s="7" t="n"/>
    </row>
    <row r="19">
      <c r="A19" s="5" t="inlineStr">
        <is>
          <t>2025年通年</t>
        </is>
      </c>
      <c r="B19" s="6" t="n">
        <v>28</v>
      </c>
      <c r="C19" s="6" t="n">
        <v>13</v>
      </c>
      <c r="D19" s="6" t="n">
        <v>6</v>
      </c>
      <c r="E19" s="6" t="n">
        <v>43</v>
      </c>
      <c r="F19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>
      <c r="A1" s="15" t="inlineStr">
        <is>
          <t>期間</t>
        </is>
      </c>
      <c r="B1" s="15" t="inlineStr">
        <is>
          <t>世界汽車販売(万辆)</t>
        </is>
      </c>
      <c r="C1" s="15" t="inlineStr">
        <is>
          <t>同比%</t>
        </is>
      </c>
      <c r="D1" s="15" t="inlineStr">
        <is>
          <t>中国販売(万辆)</t>
        </is>
      </c>
      <c r="E1" s="15" t="inlineStr">
        <is>
          <t>中国世界シェア%</t>
        </is>
      </c>
      <c r="F1" s="15" t="inlineStr">
        <is>
          <t>中国NEV世界シェア%</t>
        </is>
      </c>
      <c r="G1" s="15" t="inlineStr">
        <is>
          <t>自主NEV海外シェア%</t>
        </is>
      </c>
    </row>
    <row r="2">
      <c r="A2" s="5" t="inlineStr">
        <is>
          <t>2023年通年</t>
        </is>
      </c>
      <c r="B2" s="7" t="n"/>
      <c r="C2" s="7" t="n"/>
      <c r="D2" s="7" t="n"/>
      <c r="E2" s="7" t="n"/>
      <c r="F2" s="6" t="n">
        <v>64</v>
      </c>
      <c r="G2" s="7" t="n"/>
    </row>
    <row r="3">
      <c r="A3" s="5" t="inlineStr">
        <is>
          <t>2024年1-2月</t>
        </is>
      </c>
      <c r="B3" s="19" t="n">
        <v>1265</v>
      </c>
      <c r="C3" s="7" t="n"/>
      <c r="D3" s="7" t="n"/>
      <c r="E3" s="6" t="n">
        <v>32</v>
      </c>
      <c r="F3" s="6" t="n">
        <v>62</v>
      </c>
      <c r="G3" s="7" t="n"/>
    </row>
    <row r="4">
      <c r="A4" s="5" t="inlineStr">
        <is>
          <t>2024年1-3月</t>
        </is>
      </c>
      <c r="B4" s="19" t="n">
        <v>2105</v>
      </c>
      <c r="C4" s="7" t="n"/>
      <c r="D4" s="7" t="n"/>
      <c r="E4" s="7" t="n"/>
      <c r="F4" s="6" t="n">
        <v>62.5</v>
      </c>
      <c r="G4" s="7" t="n"/>
    </row>
    <row r="5">
      <c r="A5" s="5" t="inlineStr">
        <is>
          <t>2024年1-4月</t>
        </is>
      </c>
      <c r="B5" s="19" t="n">
        <v>2836</v>
      </c>
      <c r="C5" s="7" t="n"/>
      <c r="D5" s="7" t="n"/>
      <c r="E5" s="7" t="n"/>
      <c r="F5" s="6" t="n">
        <v>64</v>
      </c>
      <c r="G5" s="7" t="n"/>
    </row>
    <row r="6">
      <c r="A6" s="5" t="inlineStr">
        <is>
          <t>2024年通年</t>
        </is>
      </c>
      <c r="B6" s="19" t="n">
        <v>9060</v>
      </c>
      <c r="C6" s="6" t="n">
        <v>2</v>
      </c>
      <c r="D6" s="19" t="n">
        <v>3435</v>
      </c>
      <c r="E6" s="6" t="n">
        <v>34.2</v>
      </c>
      <c r="F6" s="6" t="n">
        <v>70.40000000000001</v>
      </c>
      <c r="G6" s="6" t="n">
        <v>9.5</v>
      </c>
    </row>
    <row r="7">
      <c r="A7" s="5" t="inlineStr">
        <is>
          <t>2025年1-5月</t>
        </is>
      </c>
      <c r="B7" s="19" t="n">
        <v>3799</v>
      </c>
      <c r="C7" s="6" t="n">
        <v>5</v>
      </c>
      <c r="D7" s="19" t="n">
        <v>1274</v>
      </c>
      <c r="E7" s="6" t="n">
        <v>34</v>
      </c>
      <c r="F7" s="6" t="n">
        <v>68.3</v>
      </c>
      <c r="G7" s="6" t="n">
        <v>12.7</v>
      </c>
    </row>
    <row r="8">
      <c r="A8" s="5" t="inlineStr">
        <is>
          <t>2025年1-6月</t>
        </is>
      </c>
      <c r="B8" s="19" t="n">
        <v>4632</v>
      </c>
      <c r="C8" s="6" t="n">
        <v>5</v>
      </c>
      <c r="D8" s="19" t="n">
        <v>1565</v>
      </c>
      <c r="E8" s="6" t="n">
        <v>36</v>
      </c>
      <c r="F8" s="6" t="n">
        <v>68.3</v>
      </c>
      <c r="G8" s="6" t="n">
        <v>13</v>
      </c>
    </row>
    <row r="9">
      <c r="A9" s="5" t="inlineStr">
        <is>
          <t>2025年1-7月</t>
        </is>
      </c>
      <c r="B9" s="19" t="n">
        <v>5420</v>
      </c>
      <c r="C9" s="6" t="n">
        <v>6</v>
      </c>
      <c r="D9" s="19" t="n">
        <v>1824</v>
      </c>
      <c r="E9" s="6" t="n">
        <v>34</v>
      </c>
      <c r="F9" s="6" t="n">
        <v>67.59999999999999</v>
      </c>
      <c r="G9" s="6" t="n">
        <v>15</v>
      </c>
    </row>
    <row r="10">
      <c r="A10" s="5" t="inlineStr">
        <is>
          <t>2025年1-8月</t>
        </is>
      </c>
      <c r="B10" s="19" t="n">
        <v>6198</v>
      </c>
      <c r="C10" s="6" t="n">
        <v>6</v>
      </c>
      <c r="D10" s="19" t="n">
        <v>2110</v>
      </c>
      <c r="E10" s="6" t="n">
        <v>34</v>
      </c>
      <c r="F10" s="6" t="n">
        <v>67.59999999999999</v>
      </c>
      <c r="G10" s="6" t="n">
        <v>18.8</v>
      </c>
    </row>
    <row r="11">
      <c r="A11" s="5" t="inlineStr">
        <is>
          <t>2025年1-9月</t>
        </is>
      </c>
      <c r="B11" s="19" t="n">
        <v>7053</v>
      </c>
      <c r="C11" s="6" t="n">
        <v>6</v>
      </c>
      <c r="D11" s="19" t="n">
        <v>2432</v>
      </c>
      <c r="E11" s="6" t="n">
        <v>34.5</v>
      </c>
      <c r="F11" s="6" t="n">
        <v>68</v>
      </c>
      <c r="G11" s="7" t="n"/>
    </row>
    <row r="12">
      <c r="A12" s="5" t="inlineStr">
        <is>
          <t>2025年1-10月</t>
        </is>
      </c>
      <c r="B12" s="19" t="n">
        <v>7925</v>
      </c>
      <c r="C12" s="6" t="n">
        <v>6</v>
      </c>
      <c r="D12" s="19" t="n">
        <v>2765</v>
      </c>
      <c r="E12" s="6" t="n">
        <v>34.9</v>
      </c>
      <c r="F12" s="6" t="n">
        <v>68</v>
      </c>
      <c r="G12" s="6" t="n">
        <v>13.8</v>
      </c>
    </row>
    <row r="13">
      <c r="A13" s="5" t="inlineStr">
        <is>
          <t>2025年1-11月</t>
        </is>
      </c>
      <c r="B13" s="19" t="n">
        <v>8766</v>
      </c>
      <c r="C13" s="6" t="n">
        <v>6</v>
      </c>
      <c r="D13" s="19" t="n">
        <v>3108</v>
      </c>
      <c r="E13" s="6" t="n">
        <v>35.4</v>
      </c>
      <c r="F13" s="6" t="n">
        <v>68.40000000000001</v>
      </c>
      <c r="G13" s="6" t="n">
        <v>15.4</v>
      </c>
    </row>
    <row r="14">
      <c r="A14" s="5" t="inlineStr">
        <is>
          <t>2025年通年</t>
        </is>
      </c>
      <c r="B14" s="19" t="n">
        <v>9647</v>
      </c>
      <c r="C14" s="6" t="n">
        <v>5</v>
      </c>
      <c r="D14" s="19" t="n">
        <v>3435</v>
      </c>
      <c r="E14" s="6" t="n">
        <v>35.6</v>
      </c>
      <c r="F14" s="6" t="n">
        <v>68.40000000000001</v>
      </c>
      <c r="G14" s="6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2026-03-10T15:10:54Z</dcterms:created>
  <dcterms:modified xmlns:dcterms="http://purl.org/dc/terms/" xmlns:xsi="http://www.w3.org/2001/XMLSchema-instance" xsi:type="dcterms:W3CDTF">2026-03-10T15:10:54Z</dcterms:modified>
</cp:coreProperties>
</file>